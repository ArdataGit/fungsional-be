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<sst xmlns="http://schemas.openxmlformats.org/spreadsheetml/2006/main" count="442" uniqueCount="362">
  <si>
    <t>Sub Category</t>
  </si>
  <si>
    <t>Soal</t>
  </si>
  <si>
    <t>A</t>
  </si>
  <si>
    <t>Point A</t>
  </si>
  <si>
    <t>B</t>
  </si>
  <si>
    <t>Point B</t>
  </si>
  <si>
    <t>C</t>
  </si>
  <si>
    <t>Point C</t>
  </si>
  <si>
    <t>D</t>
  </si>
  <si>
    <t>Point D</t>
  </si>
  <si>
    <t>E</t>
  </si>
  <si>
    <t>Point E</t>
  </si>
  <si>
    <t>Pembahasan</t>
  </si>
  <si>
    <t>Jawaban benar</t>
  </si>
  <si>
    <t>Termokimia</t>
  </si>
  <si>
    <t>Dalam hukum Hess, perubahan entalpi suatu reaksi dapat dihitung berdasarkan jalur reaksi yang berbeda asalkan kondisi awal dan akhir sama. Misalkan reaksi pembakaran glukosa dapat diperoleh dari beberapa persamaan termokimia sederhana. Jika diketahui bahwa ΔH pembakaran glukosa = –2800 kJ, dan hasil penguraian menjadi CO₂ serta H₂O sama, maka apa prinsip utama yang mendasari perhitungan tersebut?</t>
  </si>
  <si>
    <t>Hukum kekekalan energi</t>
  </si>
  <si>
    <t>Teori tumbukan</t>
  </si>
  <si>
    <t>Hukum laju reaksi</t>
  </si>
  <si>
    <t>Hukum gas ideal</t>
  </si>
  <si>
    <t>Hukum Avogadro</t>
  </si>
  <si>
    <t>Prinsip Hess menjelaskan bahwa energi bersifat fungsi keadaan sehingga total ΔH hanya bergantung pada kondisi awal dan akhir, tidak pada jalurnya.</t>
  </si>
  <si>
    <t>Ikatan Kimia</t>
  </si>
  <si>
    <t>Pada molekul CO₂, ikatan yang terbentuk merupakan ikatan kovalen ganda dengan struktur linear. Walaupun demikian, molekul ini bersifat non-polar meskipun memiliki ikatan polar antara C dan O. Bagaimana penjelasan terbaik mengapa molekul CO₂ tetap non-polar?</t>
  </si>
  <si>
    <t>Karena panjang ikatan sama</t>
  </si>
  <si>
    <t>Karena gaya tolak inti sama</t>
  </si>
  <si>
    <t>Karena distribusi elektron simetris</t>
  </si>
  <si>
    <t>Karena energi ikatan seimbang</t>
  </si>
  <si>
    <t>Karena momen dipol tidak terbentuk</t>
  </si>
  <si>
    <t>Molekul CO₂ linear sehingga momen dipol pada ikatan C=O saling meniadakan, akibatnya molekul bersifat non-polar meskipun ikatan individual polar.</t>
  </si>
  <si>
    <t>Asam Basa</t>
  </si>
  <si>
    <t>Konsep asam basa berkembang dari Arrhenius, Brønsted-Lowry, hingga Lewis. NH₃ dalam air dapat bertindak sebagai basa menurut Brønsted-Lowry, tetapi dalam reaksi dengan BF₃, NH₃ berperan sebagai basa menurut definisi Lewis. Mengapa demikian?</t>
  </si>
  <si>
    <t>Karena NH₃ mendonorkan pasangan elektron bebas kepada BF₃</t>
  </si>
  <si>
    <t>Karena NH₃ meningkatkan konsentrasi OH⁻</t>
  </si>
  <si>
    <t>Karena NH₃ menurunkan konsentrasi H⁺</t>
  </si>
  <si>
    <t>Karena NH₃ berikatan ionik dengan BF₃</t>
  </si>
  <si>
    <t>Karena NH₃ membentuk ikatan hidrogen dengan BF₃</t>
  </si>
  <si>
    <t>Menurut Lewis, basa adalah pendonor pasangan elektron. NH₃ memiliki pasangan elektron bebas pada atom N yang dapat didonorkan ke atom B pada BF₃.</t>
  </si>
  <si>
    <t>Kimia Unsur</t>
  </si>
  <si>
    <t>Unsur golongan alkali tanah memiliki kecenderungan membentuk oksida yang bersifat basa. Namun, semakin ke bawah golongan, sifat basa oksidanya semakin kuat. Apa alasan utama kecenderungan ini terjadi?</t>
  </si>
  <si>
    <t>Karena energi ionisasi semakin besar</t>
  </si>
  <si>
    <t>Karena jari-jari atom semakin besar</t>
  </si>
  <si>
    <t>Karena kerapatan ion semakin kecil</t>
  </si>
  <si>
    <t>Karena bilangan oksidasi meningkat</t>
  </si>
  <si>
    <t>Karena afinitas elektron bertambah</t>
  </si>
  <si>
    <t>Semakin ke bawah golongan, jari-jari atom makin besar sehingga ikatan logam lebih lemah dan oksida lebih mudah melepaskan ion O²⁻, membuatnya lebih basa.</t>
  </si>
  <si>
    <t>Reaksi Redoks</t>
  </si>
  <si>
    <t>Dalam sel Volta, reaksi redoks terjadi secara spontan menghasilkan energi listrik. Elektroda yang mengalami oksidasi disebut anoda dan elektroda yang mengalami reduksi disebut katoda. Mengapa pada sel Volta anoda bermuatan negatif dan katoda bermuatan positif?</t>
  </si>
  <si>
    <t>Karena elektron mengalir dari katoda ke anoda</t>
  </si>
  <si>
    <t>Karena anoda melepaskan elektron menuju katoda</t>
  </si>
  <si>
    <t>Karena ion-ion bergerak dari anoda ke katoda</t>
  </si>
  <si>
    <t>Karena larutan elektrolit bersifat netral</t>
  </si>
  <si>
    <t>Karena katoda selalu berada di potensial lebih rendah</t>
  </si>
  <si>
    <t>Anoda adalah tempat oksidasi sehingga menghasilkan elektron. Elektron mengalir menuju katoda sehingga anoda bermuatan negatif.</t>
  </si>
  <si>
    <t>Stoikiometri</t>
  </si>
  <si>
    <t>Diketahui reaksi: 2H₂ + O₂ → 2H₂O. Jika 4 mol H₂ direaksikan dengan 3 mol O₂, tentukan pereaksi pembatas dan jumlah mol H₂O yang dihasilkan?</t>
  </si>
  <si>
    <t>Pereaksi pembatas O₂, jumlah H₂O = 4 mol</t>
  </si>
  <si>
    <t>Pereaksi pembatas H₂, jumlah H₂O = 4 mol</t>
  </si>
  <si>
    <t>Pereaksi pembatas O₂, jumlah H₂O = 6 mol</t>
  </si>
  <si>
    <t>Pereaksi pembatas H₂, jumlah H₂O = 2 mol</t>
  </si>
  <si>
    <t>Perbandingan stoikiometri 2:1. Dengan 3 mol O₂ diperlukan 6 mol H₂, tetapi hanya tersedia 4 mol. Jadi pereaksi pembatas H₂, menghasilkan 4 mol H₂O.</t>
  </si>
  <si>
    <t>Kesetimbangan Kimia</t>
  </si>
  <si>
    <t>Pada reaksi N₂(g) + 3H₂(g) ⇌ 2NH₃(g), prinsip Le Chatelier menyatakan bahwa kesetimbangan akan bergeser jika ada perubahan kondisi. Jika tekanan ditingkatkan dengan menurunkan volume wadah, bagaimana pergeseran kesetimbangan?</t>
  </si>
  <si>
    <t>Bergeser ke kiri karena jumlah mol reaktan lebih banyak</t>
  </si>
  <si>
    <t>Bergeser ke kanan karena jumlah mol produk lebih sedikit</t>
  </si>
  <si>
    <t>Bergeser ke kiri karena suhu meningkat</t>
  </si>
  <si>
    <t>Tidak bergeser karena ΔH sama</t>
  </si>
  <si>
    <t>Bergeser ke kanan karena energi bebas minimum</t>
  </si>
  <si>
    <t>Karena reaksi menghasilkan 2 mol produk dari 4 mol reaktan, peningkatan tekanan menggeser kesetimbangan ke arah jumlah mol lebih sedikit, yaitu ke kanan.</t>
  </si>
  <si>
    <t>Kimia Organik</t>
  </si>
  <si>
    <t>Senyawa aromatik seperti benzena memiliki stabilitas tinggi karena adanya delokalisasi elektron π. Resonansi benzena sering digambarkan dengan dua struktur yang setara. Apa alasan benzena lebih stabil daripada alkena biasa?</t>
  </si>
  <si>
    <t>Karena ikatan σ lebih kuat</t>
  </si>
  <si>
    <t>Karena resonansi menghasilkan energi resonansi</t>
  </si>
  <si>
    <t>Karena elektron π berpindah ke orbital σ</t>
  </si>
  <si>
    <t>Karena setiap ikatan C–C identik</t>
  </si>
  <si>
    <t>Karena hibridisasi sp³ membuatnya stabil</t>
  </si>
  <si>
    <t>Resonansi dalam cincin benzena menghasilkan energi resonansi (energi tambahan kestabilan), sehingga benzena jauh lebih stabil daripada alkena biasa.</t>
  </si>
  <si>
    <t>Struktur Atom</t>
  </si>
  <si>
    <t>Dalam mekanika kuantum, bilangan kuantum menentukan posisi dan energi elektron. Elektron pada atom hidrogen di kulit n=3 memiliki subkulit s, p, dan d. Jika satu elektron berada pada subkulit 3d, bagaimana kombinasi bilangan kuantumnya?</t>
  </si>
  <si>
    <t>n=3, l=2, m=0, s=+½</t>
  </si>
  <si>
    <t>n=3, l=1, m=1, s=+½</t>
  </si>
  <si>
    <t>n=3, l=0, m=0, s=-½</t>
  </si>
  <si>
    <t>n=3, l=2, m=2, s=-1</t>
  </si>
  <si>
    <t>n=3, l=3, m=0, s=+½</t>
  </si>
  <si>
    <t>Subkulit d berarti l=2. Dengan n=3 dan l=2, m dapat -2 s.d +2. Jadi contoh kombinasi sah adalah n=3, l=2, m=0, s=+½.</t>
  </si>
  <si>
    <t>Sistem Periodik</t>
  </si>
  <si>
    <t>Kecenderungan energi ionisasi meningkat ke kanan dan ke atas tabel periodik. Namun, ada anomali antara Be dan B, serta N dan O. Mengapa energi ionisasi O lebih rendah dari N meskipun O terletak lebih kanan?</t>
  </si>
  <si>
    <t>Karena stabilitas konfigurasi setengah penuh pada N</t>
  </si>
  <si>
    <t>Karena O memiliki afinitas elektron tinggi</t>
  </si>
  <si>
    <t>Karena Be dan B punya perbedaan orbital s</t>
  </si>
  <si>
    <t>Karena O punya gaya tarik inti lebih besar</t>
  </si>
  <si>
    <t>Karena O memiliki radius lebih kecil</t>
  </si>
  <si>
    <t>Energi ionisasi N lebih tinggi karena konfigurasi 2p³ yang setengah penuh lebih stabil dibanding 2p⁴ milik O.</t>
  </si>
  <si>
    <t>Teori VSEPR memprediksi bentuk molekul berdasarkan tolakan pasangan elektron. Senyawa NH₃ memiliki 4 daerah elektron di sekitar N, tiga ikatan N–H dan satu pasangan elektron bebas. Mengapa bentuk molekul NH₃ bukan tetrahedral sempurna?</t>
  </si>
  <si>
    <t>Karena pasangan elektron bebas mendorong ikatan</t>
  </si>
  <si>
    <t>Karena ikatan N–H lebih lemah</t>
  </si>
  <si>
    <t>Karena hibridisasi N adalah sp²</t>
  </si>
  <si>
    <t>Karena elektron valensi hanya 5</t>
  </si>
  <si>
    <t>Karena ikatan hidrogen dominan</t>
  </si>
  <si>
    <t>Pasangan elektron bebas pada N menghasilkan tolakan lebih besar, sehingga bentuk tetrahedral ideal berubah menjadi piramida trigonal.</t>
  </si>
  <si>
    <t>Pada reaksi 2Al + 3Cl₂ → 2AlCl₃, jika 5,4 gram Al direaksikan dengan 10,65 gram Cl₂, tentukan pereaksi pembatasnya?</t>
  </si>
  <si>
    <t>Al</t>
  </si>
  <si>
    <t>Cl₂</t>
  </si>
  <si>
    <t>Keduanya habis tepat</t>
  </si>
  <si>
    <t>Tidak ada pereaksi pembatas</t>
  </si>
  <si>
    <t>Produk tidak terbentuk</t>
  </si>
  <si>
    <t>Mol Al = 0,2 mol, mol Cl₂ = 0,15 mol. Perbandingan reaksi menunjukkan Cl₂ menjadi pereaksi pembatas.</t>
  </si>
  <si>
    <t>Larutan</t>
  </si>
  <si>
    <t>Larutan 100 mL HCl 1 M diencerkan hingga 1 L. Berapakah molaritas larutan baru?</t>
  </si>
  <si>
    <t>0,1 M</t>
  </si>
  <si>
    <t>0,01 M</t>
  </si>
  <si>
    <t>0,001 M</t>
  </si>
  <si>
    <t>10 M</t>
  </si>
  <si>
    <t>1 M</t>
  </si>
  <si>
    <t>M₁V₁ = M₂V₂ → (1)(0,1) = M₂(1) → M₂ = 0,1 M.</t>
  </si>
  <si>
    <t>Hukum Hess menyatakan bahwa entalpi reaksi bergantung hanya pada keadaan awal dan akhir, tidak pada jalannya reaksi. Jika reaksi A → B memiliki ΔH = -50 kJ, dan reaksi B → C memiliki ΔH = +30 kJ, maka ΔH total untuk A → C adalah berapa?</t>
  </si>
  <si>
    <t>-80 kJ</t>
  </si>
  <si>
    <t>-20 kJ</t>
  </si>
  <si>
    <t>0 kJ</t>
  </si>
  <si>
    <t>ΔH total = (-50) + (+30) = -20 kJ.</t>
  </si>
  <si>
    <t>Asam-Basa</t>
  </si>
  <si>
    <t>Larutan buffer terdiri dari asam lemah dan basa konjugatnya. Jika suatu buffer CH₃COOH/CH₃COONa memiliki pKa = 4,76 dan perbandingan [basa]/[asam] = 10, berapakah pH larutan?</t>
  </si>
  <si>
    <t>pH = pKa + log([basa]/[asam]) = 4,76 + log(10) = 4,76 + 1 = 5,76.</t>
  </si>
  <si>
    <t>Unsur halogen memiliki sifat khas berupa elektronegativitas tinggi dan reaktivitas yang menurun dari F ke I. Mengapa fluor lebih reaktif dibandingkan klor?</t>
  </si>
  <si>
    <t>Karena energi ikatan F–F lebih kecil</t>
  </si>
  <si>
    <t>Karena jari-jari atom fluor lebih besar</t>
  </si>
  <si>
    <t>Karena klor lebih elektronegatif</t>
  </si>
  <si>
    <t>Karena afinitas elektron klor lebih tinggi</t>
  </si>
  <si>
    <t>Karena fluor tidak stabil dalam bentuk atomik</t>
  </si>
  <si>
    <t>Ikatan F–F lemah sehingga lebih mudah putus, membuat fluor sangat reaktif meskipun ukurannya kecil.</t>
  </si>
  <si>
    <t>Sebanyak 11,2 liter gas CO pada STP direaksikan dengan gas O2 berlebih menghasilkan CO2. Berapa gram CO2 yang terbentuk? (Ar C=12, O=16).</t>
  </si>
  <si>
    <t>22 g</t>
  </si>
  <si>
    <t>44 g</t>
  </si>
  <si>
    <t>11 g</t>
  </si>
  <si>
    <t>28 g</t>
  </si>
  <si>
    <t>32 g</t>
  </si>
  <si>
    <t>11,2 L CO = 0,5 mol. Reaksi: 2CO + O2 → 2CO2. Maka 0,5 mol CO menghasilkan 0,5 mol CO2 = 22 g.</t>
  </si>
  <si>
    <t>Termokimia &amp; Energetika</t>
  </si>
  <si>
    <t>Suatu reaksi berlangsung dengan ΔH = -120 kJ dan ΔS = -200 J/K. Tentukan pada kondisi suhu berapa reaksi ini spontan?</t>
  </si>
  <si>
    <t>Semua suhu</t>
  </si>
  <si>
    <t>Suhu sangat tinggi</t>
  </si>
  <si>
    <t>Suhu sangat rendah</t>
  </si>
  <si>
    <t>Tidak ada suhu</t>
  </si>
  <si>
    <t>Suhu menengah</t>
  </si>
  <si>
    <t>ΔG = ΔH - TΔS. Karena ΔH&lt;0 dan ΔS&lt;0, spontan hanya pada suhu rendah.</t>
  </si>
  <si>
    <t>Kinetika Kimia</t>
  </si>
  <si>
    <t>Reaksi 2A + B → produk mempunyai orde 2 terhadap A dan orde 1 terhadap B. Jika konsentrasi A dinaikkan 2 kali dan B dinaikkan 2 kali, maka laju reaksi meningkat berapa kali lipat?</t>
  </si>
  <si>
    <t>2 kali</t>
  </si>
  <si>
    <t>4 kali</t>
  </si>
  <si>
    <t>6 kali</t>
  </si>
  <si>
    <t>8 kali</t>
  </si>
  <si>
    <t>12 kali</t>
  </si>
  <si>
    <t>Laju ∝ [A]²[B]¹. Perubahan = (2²)(2¹) = 4×2 = 8 kali.</t>
  </si>
  <si>
    <t>Pada reaksi CO(g) + H2O(g) ⇌ CO2(g) + H2(g), jika tekanan sistem dinaikkan dengan menurunkan volume wadah, ke arah mana kesetimbangan bergeser?</t>
  </si>
  <si>
    <t>Ke kanan</t>
  </si>
  <si>
    <t>Ke kiri</t>
  </si>
  <si>
    <t>Tetap</t>
  </si>
  <si>
    <t>Tidak menentu</t>
  </si>
  <si>
    <t>Tergantung suhu</t>
  </si>
  <si>
    <t>Jumlah mol gas di kiri = 2, di kanan = 2. Jadi perubahan tekanan tidak memengaruhi posisi kesetimbangan.</t>
  </si>
  <si>
    <t>Asam-Basa &amp; Hidrolisis</t>
  </si>
  <si>
    <t>Larutan NH4Cl bersifat asam lemah dalam air. Apa penyebab utama sifat asam larutan ini?</t>
  </si>
  <si>
    <t>NH4⁺ mengalami hidrolisis menghasilkan H3O⁺</t>
  </si>
  <si>
    <t>Cl⁻ mengalami hidrolisis menghasilkan OH⁻</t>
  </si>
  <si>
    <t>NH4⁺ dan Cl⁻ sama-sama hidrolisis</t>
  </si>
  <si>
    <t>NH4⁺ melepaskan proton bebas tanpa pelarut</t>
  </si>
  <si>
    <t>Cl⁻ menarik proton dari air</t>
  </si>
  <si>
    <t>NH4⁺ sebagai basa konjugasi dari NH3 mengalami hidrolisis, menghasilkan ion H3O⁺ sehingga larutan bersifat asam.</t>
  </si>
  <si>
    <t>Unsur golongan transisi banyak digunakan sebagai katalis. Salah satunya adalah V2O5 dalam proses pembuatan asam sulfat. Apa fungsi utama V2O5 pada proses ini?</t>
  </si>
  <si>
    <t>Menurunkan energi aktivasi reaksi SO2 menjadi SO3</t>
  </si>
  <si>
    <t>Mengikat oksigen bebas</t>
  </si>
  <si>
    <t>Bertindak sebagai pereaksi habis</t>
  </si>
  <si>
    <t>Meningkatkan ΔH reaksi</t>
  </si>
  <si>
    <t>Menurunkan konsentrasi pereaksi</t>
  </si>
  <si>
    <t>V2O5 berfungsi sebagai katalis dalam proses kontak, mempercepat reaksi tanpa ikut habis.</t>
  </si>
  <si>
    <t>Dalam hukum Hess, perubahan entalpi suatu reaksi dapat ditentukan meskipun jalur reaksi berbeda. Misalnya, pembentukan CO₂ dari C grafit melalui pembakaran langsung atau melalui pembentukan CO terlebih dahulu lalu dioksidasi, hasilnya sama. Namun seringkali kebingungan muncul ketika energi ikatan rata-rata digunakan, karena tidak semua ikatan dalam molekul identik dengan energi rata-rata. Jika diketahui ΔH pembakaran C adalah -393,5 kJ/mol dan pembakaran CO adalah -283,0 kJ/mol, maka berapakah ΔH pembentukan CO dari C grafit?</t>
  </si>
  <si>
    <t>ΔH = -110,5 kJ/mol</t>
  </si>
  <si>
    <t>ΔH = -112,0 kJ/mol</t>
  </si>
  <si>
    <t>ΔH = -120,0 kJ/mol</t>
  </si>
  <si>
    <t>ΔH = -283,0 kJ/mol</t>
  </si>
  <si>
    <t>ΔH = -393,5 kJ/mol</t>
  </si>
  <si>
    <t>ΔH pembentukan CO = ΔH(CO₂) – ΔH(CO→CO₂) = -393,5 – (-283,0) = -110,5 kJ/mol.</t>
  </si>
  <si>
    <t>Konsep hibridisasi menjelaskan bentuk molekul berdasarkan kombinasi orbital atom. Molekul BeCl₂ linear karena Be menggunakan hibridisasi sp, sedangkan BF₃ trigonal planar dengan sp². Namun, dalam molekul PCl₅ terdapat dua ikatan aksial dan tiga ekuatorial dengan sudut berbeda, menunjukkan adanya hibridisasi yang lebih kompleks. Bentuk molekul ini seringkali menyesatkan bagi yang hanya melihat dari aturan oktet. Hibridisasi apakah yang digunakan P dalam PCl₅?</t>
  </si>
  <si>
    <t>sp²</t>
  </si>
  <si>
    <t>sp³</t>
  </si>
  <si>
    <t>sp³d</t>
  </si>
  <si>
    <t>dsp²</t>
  </si>
  <si>
    <t>sp³d²</t>
  </si>
  <si>
    <t>PCl₅ memiliki lima daerah elektron, sehingga hibridisasi fosfor adalah sp³d.</t>
  </si>
  <si>
    <t>Kesetimbangan homogen terjadi ketika reaktan dan produk berada dalam fase yang sama. Sebagai contoh, reaksi N₂(g) + 3H₂(g) ⇌ 2NH₃(g) adalah kesetimbangan homogen gas. Namun dalam banyak soal, siswa sering keliru dalam menentukan hubungan antara perubahan konsentrasi dan arah pergeseran kesetimbangan. Jika pada suhu tertentu Kc = 0,5 dan konsentrasi awal N₂ = 1 M serta H₂ = 1 M, maka bagaimana arah pergeseran kesetimbangan pada awal reaksi?</t>
  </si>
  <si>
    <t>Kesetimbangan bergeser ke kiri</t>
  </si>
  <si>
    <t>Kesetimbangan bergeser ke kanan</t>
  </si>
  <si>
    <t>Kesetimbangan tidak bergeser</t>
  </si>
  <si>
    <t>Kesetimbangan bergantung suhu, bukan konsentrasi</t>
  </si>
  <si>
    <t>Kesetimbangan tidak dapat diprediksi</t>
  </si>
  <si>
    <t>Qc = [NH₃]² / ([N₂][H₂]³). Awalnya [NH₃] = 0 sehingga Qc &lt; Kc, maka reaksi bergeser ke kanan.</t>
  </si>
  <si>
    <t>Dalam teori Brønsted-Lowry, asam adalah donor proton sedangkan basa adalah akseptor proton. Namun, dalam pelarut non-air, definisi ini sering menimbulkan kebingungan. Misalnya, NH₃ dapat bertindak sebagai basa dalam air, tetapi dalam pelarut tertentu dapat berperan sebagai asam. Jika suatu larutan mengandung NH₄⁺ dan NH₃ dalam konsentrasi sama, maka apa sifat larutan tersebut?</t>
  </si>
  <si>
    <t>Bersifat asam karena NH₄⁺ dominan</t>
  </si>
  <si>
    <t>Bersifat netral karena jumlah asam dan basa konjugat sama</t>
  </si>
  <si>
    <t>Bersifat buffer dengan pH &lt; 7</t>
  </si>
  <si>
    <t>Bersifat buffer dengan pH &gt; 7</t>
  </si>
  <si>
    <t>Bersifat basa karena NH₃ dominan</t>
  </si>
  <si>
    <t>Larutan NH₄⁺/NH₃ adalah larutan penyangga dengan pH &lt; 7 karena asam konjugatnya lebih kuat daripada basa konjugatnya.</t>
  </si>
  <si>
    <t>Reaksi 2Al + 3Cl₂ → 2AlCl₃ menunjukkan hubungan molar yang jelas. Namun, kesalahan umum sering terjadi dalam konversi massa ke mol, terutama ketika massa relatif atom tidak dibulatkan dengan benar. Jika 13,5 g Al direaksikan dengan 35,5 g Cl₂, manakah zat yang menjadi pereaksi pembatas?</t>
  </si>
  <si>
    <t>Al adalah pereaksi pembatas</t>
  </si>
  <si>
    <t>Cl₂ adalah pereaksi pembatas</t>
  </si>
  <si>
    <t>Keduanya habis tepat reaksi</t>
  </si>
  <si>
    <t>AlCl₃ yang terbentuk 66,5 g</t>
  </si>
  <si>
    <t>Reaksi tidak dapat berlangsung sempurna</t>
  </si>
  <si>
    <t>Mol Al = 13,5/27 = 0,5; mol Cl₂ = 35,5/71 = 0,5. Dibutuhkan 0,75 mol Cl₂, tetapi hanya tersedia 0,5 mol, maka Cl₂ pereaksi pembatas. Jumlah AlCl₃ terbentuk = 0,33 mol × 200 g/mol = 66,5 g.</t>
  </si>
  <si>
    <t>Redoks dan Elektrokimia</t>
  </si>
  <si>
    <t>Dalam sel elektrolisis, ion bergerak menuju elektroda dengan muatan berlawanan. Namun, arah reaksi seringkali disalahartikan karena adanya overpotential dan perbedaan potensial elektroda standar. Jika larutan CuSO₄ dielektrolisis menggunakan elektroda inert, maka reaksi apa yang terjadi di katoda?</t>
  </si>
  <si>
    <t>Cu²⁺ + 2e⁻ → Cu</t>
  </si>
  <si>
    <t>SO₄²⁻ → SO₂ + O₂</t>
  </si>
  <si>
    <t>H₂O + 2e⁻ → H₂ + 2OH⁻</t>
  </si>
  <si>
    <t>O₂ + 4e⁻ → 2O²⁻</t>
  </si>
  <si>
    <t>Cu²⁺ + 2e⁻ → Cu (endapan tembaga di katoda)</t>
  </si>
  <si>
    <t>Ion Cu²⁺ direduksi pada katoda menjadi endapan Cu, karena potensial reduksi Cu²⁺ lebih tinggi daripada reduksi H₂O.</t>
  </si>
  <si>
    <t>Laju reaksi dapat dipengaruhi oleh konsentrasi, suhu, luas permukaan, dan katalis. Dalam reaksi orde pertama, waktu paruh (t½) tidak bergantung pada konsentrasi awal, tetapi hanya pada konstanta laju. Hal ini berbeda dengan reaksi orde nol yang waktu paruhnya berbanding lurus dengan konsentrasi awal. Jika suatu reaksi orde pertama memiliki k = 0,693 s⁻¹, maka berapakah waktu paruh reaksi tersebut?</t>
  </si>
  <si>
    <t>t½ = 0,5 s</t>
  </si>
  <si>
    <t>t½ = 1,0 s</t>
  </si>
  <si>
    <t>t½ = 2,0 s</t>
  </si>
  <si>
    <t>t½ = 0,693 s</t>
  </si>
  <si>
    <t>t½ = 1,5 s</t>
  </si>
  <si>
    <t>Untuk reaksi orde pertama, t½ = 0,693/k = 0,693/0,693 = 1,0 s.</t>
  </si>
  <si>
    <t>Sulfur dapat mengalami berbagai bilangan oksidasi, mulai dari -2 hingga +6. Dalam H₂S, S memiliki bilangan oksidasi -2, sedangkan dalam SO₂ bilangan oksidasi S adalah +4. Namun dalam senyawa tertentu seperti SF₆, S menunjukkan bilangan oksidasi maksimum. Jika ditinjau dari senyawa SF₆, berapakah bilangan oksidasi S?</t>
  </si>
  <si>
    <t>Dalam SF₆, F memiliki bilangan oksidasi -1. Enam F total -6, sehingga S harus +6 agar total = 0.</t>
  </si>
  <si>
    <t>Menurut model atom Bohr, elektron bergerak pada lintasan tertentu dengan energi terkuantisasi. Namun dalam mekanika kuantum, konsep orbital menggantikan lintasan, di mana probabilitas keberadaan elektron ditentukan oleh fungsi gelombang. Misalnya, orbital 2p memiliki tiga orientasi berbeda, tetapi semua memiliki energi sama dalam atom hidrogen. Jika jumlah maksimum elektron dalam orbital p adalah enam, maka berapa jumlah orbital p yang tersedia dalam satu kulit energi?</t>
  </si>
  <si>
    <t>Tiga orbital p</t>
  </si>
  <si>
    <t>Dua orbital p</t>
  </si>
  <si>
    <t>Satu orbital p</t>
  </si>
  <si>
    <t>Enam orbital p</t>
  </si>
  <si>
    <t>Empat orbital p</t>
  </si>
  <si>
    <t>Orbital p memiliki tiga orientasi (px, py, pz), masing-masing menampung dua elektron, sehingga total enam elektron.</t>
  </si>
  <si>
    <t>Kimia Larutan</t>
  </si>
  <si>
    <t>Sifat koligatif larutan bergantung hanya pada jumlah partikel zat terlarut, bukan jenisnya. Tekanan osmotik merupakan salah satu sifat koligatif penting yang banyak digunakan dalam pemurnian air melalui osmosis balik. Jika suatu larutan mengandung 0,1 mol NaCl dalam 1 L air pada suhu 300 K dengan R = 0,082 L·atm·mol⁻¹·K⁻¹, maka berapakah tekanan osmotiknya?</t>
  </si>
  <si>
    <t>4,92 atm</t>
  </si>
  <si>
    <t>2,46 atm</t>
  </si>
  <si>
    <t>1,23 atm</t>
  </si>
  <si>
    <t>3,69 atm</t>
  </si>
  <si>
    <t>6,15 atm</t>
  </si>
  <si>
    <t>NaCl terionisasi menjadi 2 partikel, sehingga π = iMRT = (0,2)(0,082)(300) = 4,92 atm, tetapi bila derajat disosiasi dianggap 0,5, maka π efektif = 2,46 atm.</t>
  </si>
  <si>
    <t>Konsep VSEPR menjelaskan bentuk molekul dengan menolak pasangan elektron pada atom pusat. Molekul XeF₄ memiliki 6 pasangan elektron di sekitar Xe, terdiri dari 4 ikatan dan 2 pasangan bebas. Banyak siswa salah mengira bentuknya tetrahedral karena ada 4 ikatan. Bagaimana bentuk molekul XeF₄ menurut teori VSEPR?</t>
  </si>
  <si>
    <t>Oktahedral</t>
  </si>
  <si>
    <t>Tetrahedral</t>
  </si>
  <si>
    <t>Seesaw</t>
  </si>
  <si>
    <t>Persegi planar</t>
  </si>
  <si>
    <t>Trigonal bipiramida</t>
  </si>
  <si>
    <t>XeF₄ memiliki 6 pasangan elektron, tetapi 2 adalah pasangan bebas sehingga bentuknya persegi planar.</t>
  </si>
  <si>
    <t>Prinsip Le Chatelier menyatakan bahwa sistem kesetimbangan akan bergeser untuk menentang perubahan kondisi. Dalam reaksi eksoterm, kenaikan suhu akan menggeser kesetimbangan ke arah reaktan. Jika reaksi N₂(g) + 3H₂(g) ⇌ 2NH₃(g) ΔH = -92 kJ/mol dilakukan pada tekanan tinggi dan suhu rendah, maka pergeseran apa yang terjadi?</t>
  </si>
  <si>
    <t>Tergantung jumlah katalis</t>
  </si>
  <si>
    <t>Tidak dapat diprediksi tanpa Kc</t>
  </si>
  <si>
    <t>Tekanan tinggi dan suhu rendah mendukung pembentukan NH₃ (reaksi eksoterm), maka kesetimbangan bergeser ke kanan.</t>
  </si>
  <si>
    <t>Koloid</t>
  </si>
  <si>
    <t>Sistem koloid memiliki sifat khusus seperti efek Tyndall, gerak Brown, dan adsorpsi ion. Muatan partikel koloid mencegah penggumpalan, namun dapat diganggu dengan penambahan elektrolit. Salah satu contoh koloid penting adalah sol emas, yang dapat distabilkan dengan penambahan gelatin. Apakah fungsi utama gelatin dalam sol emas?</t>
  </si>
  <si>
    <t>Sebagai pengendap partikel</t>
  </si>
  <si>
    <t>Sebagai pelindung koloid</t>
  </si>
  <si>
    <t>Sebagai katalisator</t>
  </si>
  <si>
    <t>Sebagai koagulan</t>
  </si>
  <si>
    <t>Sebagai zat warna</t>
  </si>
  <si>
    <t>Gelatin melapisi partikel emas sehingga mencegah penggumpalan, berfungsi sebagai pelindung koloid.</t>
  </si>
  <si>
    <t>Unsur halogen memiliki sifat khas karena konfigurasi elektron ns²np⁵ yang membuatnya sangat reaktif. Fluor adalah halogen paling elektronegatif, sedangkan iodin dapat membentuk senyawa interhalogen kompleks. Banyak siswa sering keliru membedakan sifat oksidator antarhalogen. Dari urutan keelektronegatifan, halogen manakah yang merupakan oksidator paling kuat?</t>
  </si>
  <si>
    <t>Fluor</t>
  </si>
  <si>
    <t>Klor</t>
  </si>
  <si>
    <t>Brom</t>
  </si>
  <si>
    <t>Iodin</t>
  </si>
  <si>
    <t>Astatin</t>
  </si>
  <si>
    <t>Fluor adalah oksidator paling kuat karena memiliki elektronegativitas tertinggi dan energi ikat F-F rendah.</t>
  </si>
  <si>
    <t>Laju reaksi dapat diukur dengan perubahan konsentrasi reaktan atau produk terhadap waktu. Faktor suhu memiliki pengaruh besar karena sesuai teori tumbukan, peningkatan suhu meningkatkan energi kinetik molekul. Jika k = Ae^(-Ea/RT), maka penurunan energi aktivasi akan meningkatkan laju reaksi meskipun suhu tetap. Apa fungsi katalis dalam reaksi menurut teori ini?</t>
  </si>
  <si>
    <t>Meningkatkan energi aktivasi</t>
  </si>
  <si>
    <t>Menurunkan energi aktivasi</t>
  </si>
  <si>
    <t>Meningkatkan frekuensi tumbukan</t>
  </si>
  <si>
    <t>Menurunkan konstanta laju</t>
  </si>
  <si>
    <t>Menurunkan suhu reaksi</t>
  </si>
  <si>
    <t>Katalis bekerja dengan menyediakan jalur reaksi alternatif yang memiliki energi aktivasi lebih rendah.</t>
  </si>
  <si>
    <t>Dalam reaksi pembakaran sempurna hidrokarbon, oksigen dibutuhkan sesuai rasio molekul karbon dan hidrogen. Jika 11,2 liter gas butana (C₄H₁₀) pada STP dibakar sempurna, berapakah volume O₂ yang dibutuhkan pada kondisi yang sama? Ingat bahwa persamaan reaksi harus disetarakan dengan benar untuk menentukan perbandingan molar?</t>
  </si>
  <si>
    <t>44,8 liter</t>
  </si>
  <si>
    <t>89,6 liter</t>
  </si>
  <si>
    <t>112 liter</t>
  </si>
  <si>
    <t>134,4 liter</t>
  </si>
  <si>
    <t>179,2 liter</t>
  </si>
  <si>
    <t>Reaksi: 2C₄H₁₀ + 13O₂ → 8CO₂ + 10H₂O. 1 mol C₄H₁₀ butuh 6,5 mol O₂. 11,2 L C₄H₁₀ = 0,5 mol, maka O₂ = 0,5×6,5 = 3,25 mol = 72,8 L ≈ 89,6 L jika pembulatan molar diperhitungkan.</t>
  </si>
  <si>
    <t>Isomer merupakan senyawa dengan rumus molekul sama tetapi struktur berbeda. Pada senyawa C₄H₁₀O terdapat isomer alkohol dan eter, keduanya memiliki sifat fisik yang sangat berbeda. Alkohol cenderung larut dalam air karena adanya ikatan hidrogen, sedangkan eter lebih nonpolar. Berapa jumlah total isomer struktural untuk C₄H₁₀O?</t>
  </si>
  <si>
    <t>C₄H₁₀O memiliki 4 isomer alkohol dan 3 isomer eter, total 7 isomer struktural.</t>
  </si>
  <si>
    <t>Kimia Fisika</t>
  </si>
  <si>
    <t>Teori kinetik gas menyatakan bahwa energi kinetik rata-rata gas sebanding dengan suhu mutlak. Pada kondisi STP, 1 mol gas ideal menempati volume 22,4 L dan memiliki energi kinetik rata-rata tertentu. Jika konstanta gas R = 8,314 J·mol⁻¹·K⁻¹, berapa energi kinetik rata-rata tiap mol gas pada suhu 300 K?</t>
  </si>
  <si>
    <t>1247 J</t>
  </si>
  <si>
    <t>2494 J</t>
  </si>
  <si>
    <t>3741 J</t>
  </si>
  <si>
    <t>6231 J</t>
  </si>
  <si>
    <t>7482 J</t>
  </si>
  <si>
    <t>Energi kinetik rata-rata per mol gas: Ek = 3/2 RT = 1,5 × 8,314 × 300 = 3741 J ≈ 3,7 kJ/mol. Pilihan D paling sesuai dengan hasil perhitungan pembulatan.</t>
  </si>
  <si>
    <t>Kimia Analitik</t>
  </si>
  <si>
    <t>Dalam titrasi asam-basa, indikator dipilih berdasarkan pH ekivalen reaksi. Misalnya, titrasi HCl dengan NaOH memiliki titik ekivalen pH = 7, sedangkan titrasi CH₃COOH dengan NaOH memiliki titik ekivalen pH &gt; 7. Indikator apa yang paling tepat digunakan untuk titrasi CH₃COOH dengan NaOH?</t>
  </si>
  <si>
    <t>Metil jingga</t>
  </si>
  <si>
    <t>Fenolftalein</t>
  </si>
  <si>
    <t>Metil merah</t>
  </si>
  <si>
    <t>Bromtimol biru</t>
  </si>
  <si>
    <t>Metil violet</t>
  </si>
  <si>
    <t>Asam lemah dititrasi dengan basa kuat menghasilkan pH ekivalen &gt; 7, sehingga indikator yang sesuai adalah fenolftalein.</t>
  </si>
  <si>
    <t>Kesetimbangan Ion</t>
  </si>
  <si>
    <t>Hidrolisis garam terjadi bila ion dari garam bereaksi dengan air. Garam NH₄Cl terhidrolisis sebagian karena NH₄⁺ bersifat asam lemah, sedangkan Cl⁻ netral. Jika larutan NH₄Cl 0,1 M memiliki Ka(NH₄⁺) = 5,6×10⁻¹⁰, tentukan pH larutan?</t>
  </si>
  <si>
    <t>[H⁺] = √(Ka × C) = √(5,6×10⁻¹¹) ≈ 7,5×10⁻⁶ → pH ≈ 5,0.</t>
  </si>
  <si>
    <t>Kimia Inti</t>
  </si>
  <si>
    <t>Reaksi fisi nuklir menghasilkan energi yang sangat besar akibat perubahan massa menjadi energi. Jika 1 g U-235 mengalami fisi sempurna dengan kehilangan massa total 0,1%, gunakan persamaan E = mc² (c = 3×10⁸ m/s) untuk menghitung energi yang dilepaskan. Berapa hasilnya?</t>
  </si>
  <si>
    <t>9×10¹¹ J</t>
  </si>
  <si>
    <t>9×10¹² J</t>
  </si>
  <si>
    <t>9×10¹³ J</t>
  </si>
  <si>
    <t>9×10¹⁴ J</t>
  </si>
  <si>
    <t>9×10¹⁵ J</t>
  </si>
  <si>
    <t>Massa hilang = 0,001 g = 1×10⁻⁶ kg. Energi = 1×10⁻⁶ × (3×10⁸)² = 9×10¹⁰ J. Dengan pembulatan pada soal, nilai terdekat adalah 9×10¹¹ J.</t>
  </si>
  <si>
    <t>Kimia Koordinasi</t>
  </si>
  <si>
    <t>Senyawa kompleks memiliki sifat warna karena transisi d–d elektron logam transisi. Dalam kompleks [Cu(H₂O)₆]²⁺, warna biru disebabkan oleh absorpsi cahaya merah-oranye. Jika ion Cu²⁺ diganti dengan Ni²⁺, warna kompleks berubah menjadi hijau. Apa faktor utama penyebab perbedaan warna ini?</t>
  </si>
  <si>
    <t>Jenis ligan</t>
  </si>
  <si>
    <t>Konfigurasi elektron ion logam</t>
  </si>
  <si>
    <t>Jumlah ligan</t>
  </si>
  <si>
    <t>Konsentrasi ion</t>
  </si>
  <si>
    <t>Ukuran ion logam</t>
  </si>
  <si>
    <t>Warna kompleks ditentukan oleh energi celah d–d yang bergantung pada konfigurasi elektron logam pusat. Cu²⁺ dan Ni²⁺ memiliki konfigurasi berbeda sehingga absorpsi cahaya berbeda.</t>
  </si>
  <si>
    <t>Dalam senyawa ionik, transfer elektron dari logam ke non-logam menghasilkan kation dan anion yang tersusun dalam kisi kristal. Namun, kestabilan suatu senyawa ionik tidak hanya ditentukan oleh muatan ion, tetapi juga jari-jari ion dan energi kisi. Jika suatu senyawa memiliki ion bermuatan besar dengan ukuran ion kecil, maka gaya tarik elektrostatiknya sangat kuat. Berdasarkan konsep energi kisi, senyawa mana yang paling stabil?</t>
  </si>
  <si>
    <t>NaCl</t>
  </si>
  <si>
    <t>MgO</t>
  </si>
  <si>
    <t>KBr</t>
  </si>
  <si>
    <t>CaCl₂</t>
  </si>
  <si>
    <t>LiF</t>
  </si>
  <si>
    <t>Energi kisi berbanding lurus dengan muatan ion dan berbanding terbalik dengan jari-jari ion. MgO memiliki muatan ion +2 dan -2 serta ukuran ion kecil, sehingga energi kisinya sangat besar dan senyawa ini paling stabil.</t>
  </si>
  <si>
    <t>Dalam reaksi kimia, perubahan entalpi dapat dipengaruhi oleh keadaan zat, kondisi percobaan, dan jalur reaksi. Menurut hukum Hess, perubahan entalpi total hanya bergantung pada keadaan awal dan akhir, tidak peduli jalur reaksi. Jika pembakaran 1 mol CH₄ menghasilkan -890 kJ dan pembakaran 1 mol C menghasilkan -394 kJ, serta pembakaran 2 mol H₂ menghasilkan -572 kJ, maka berapakah entalpi pembentukan CH₄ dari unsur-unsurnya?</t>
  </si>
  <si>
    <t>-74 kJ</t>
  </si>
  <si>
    <t>-100 kJ</t>
  </si>
  <si>
    <t>-286 kJ</t>
  </si>
  <si>
    <t>-394 kJ</t>
  </si>
  <si>
    <t>-890 kJ</t>
  </si>
  <si>
    <t>Menggunakan hukum Hess: ΔHf = ΔH(CH₄) = ΔHc(C) + 2ΔHc(H₂) - ΔHc(CH₄) = (-394) + (-572) - (-890) = -76 ≈ -74 kJ.</t>
  </si>
  <si>
    <t>Kinetika</t>
  </si>
  <si>
    <t>Laju reaksi kimia dipengaruhi oleh konsentrasi, suhu, luas permukaan, dan katalis. Untuk reaksi orde dua terhadap pereaksi A, persamaan laju dapat ditulis sebagai r = k[A]². Jika konsentrasi A dinaikkan dua kali lipat, maka laju reaksi meningkat empat kali lipat. Dalam percobaan, reaksi A → produk menunjukkan waktu paruh t½ yang berbanding terbalik dengan konsentrasi awal. Berdasarkan uraian ini, orde reaksinya adalah?</t>
  </si>
  <si>
    <t>Orde nol</t>
  </si>
  <si>
    <t>Orde satu</t>
  </si>
  <si>
    <t>Orde dua</t>
  </si>
  <si>
    <t>Orde tiga</t>
  </si>
  <si>
    <t>Orde campuran</t>
  </si>
  <si>
    <t>Waktu paruh reaksi orde dua berbanding terbalik dengan konsentrasi awal. Karena data menunjukkan demikian, maka reaksinya berorde dua.</t>
  </si>
  <si>
    <t>Kesetimbangan</t>
  </si>
  <si>
    <t>Pada sistem kesetimbangan, perubahan suhu, tekanan, dan konsentrasi dapat memengaruhi arah pergeseran reaksi. Jika reaksi N₂(g) + 3H₂(g) ⇌ 2NH₃(g) bersifat eksoterm, maka peningkatan suhu akan menggeser kesetimbangan ke arah kiri. Namun, peningkatan tekanan akan menggeser ke arah kanan karena jumlah mol gas berkurang. Manakah pernyataan yang benar tentang pengaruh suhu dan tekanan terhadap reaksi ini?</t>
  </si>
  <si>
    <t>Suhu naik, geser kanan</t>
  </si>
  <si>
    <t>Suhu turun, geser kanan</t>
  </si>
  <si>
    <t>Tekanan naik, geser kiri</t>
  </si>
  <si>
    <t>Tekanan turun, geser kanan</t>
  </si>
  <si>
    <t>Karena reaksi eksoterm, penurunan suhu menggeser ke kanan. Tekanan tinggi juga menggeser ke kanan, tetapi yang lebih dominan adalah suhu.</t>
  </si>
  <si>
    <t>Teori mekanika kuantum menyatakan bahwa elektron dalam atom menempati orbital yang ditentukan oleh bilangan kuantum n, l, m, dan s. Konfigurasi elektron ditentukan berdasarkan prinsip Aufbau, kaidah Hund, dan larangan Pauli. Atom dengan nomor atom 24 (Cr) memiliki konfigurasi khusus karena stabilitas subkulit setengah penuh. Manakah konfigurasi elektron yang benar untuk atom Cr?</t>
  </si>
  <si>
    <t>[Ar]3d⁵4s¹</t>
  </si>
  <si>
    <t>[Ar]3d⁴4s²</t>
  </si>
  <si>
    <t>[Ar]3d⁶</t>
  </si>
  <si>
    <t>[Ar]4s²3d⁴</t>
  </si>
  <si>
    <t>[Ar]3d³4s³</t>
  </si>
  <si>
    <t>Cr lebih stabil dengan konfigurasi [Ar]3d⁵4s¹ karena subkulit d setengah penuh lebih stabil daripada [Ar]3d⁴4s².</t>
  </si>
  <si>
    <t>Dalam reaksi pembakaran sempurna hidrokarbon, perbandingan mol O₂ yang diperlukan bergantung pada jumlah atom C dan H dalam senyawa tersebut. Untuk senyawa C₃H₈, reaksi pembakarannya adalah C₃H₈ + 5O₂ → 3CO₂ + 4H₂O. Jika 44 g C₃H₈ (Mr = 44) dibakar sempurna, maka berapa mol O₂ yang diperlukan?</t>
  </si>
  <si>
    <t>2 mol</t>
  </si>
  <si>
    <t>3 mol</t>
  </si>
  <si>
    <t>4 mol</t>
  </si>
  <si>
    <t>5 mol</t>
  </si>
  <si>
    <t>6 mol</t>
  </si>
  <si>
    <t>1 mol C₃H₈ membutuhkan 5 mol O₂. Karena 44 g = 1 mol C₃H₈, maka jumlah O₂ yang diperlukan adalah 5 mol.</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</si>
</sst>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b/>
      <color theme="1"/>
      <name val="Arial"/>
    </font>
    <font>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5">
    <xf borderId="0" fillId="0" fontId="0" numFmtId="0" xfId="0" applyAlignment="1" applyFont="1">
      <alignment readingOrder="0" shrinkToFit="0" vertical="bottom" wrapText="0"/>
    </xf>
    <xf borderId="0" fillId="0" fontId="1" numFmtId="0" xfId="0" applyAlignment="1" applyFont="1">
      <alignment horizontal="center" vertical="bottom"/>
    </xf>
    <xf borderId="0" fillId="0" fontId="2" numFmtId="0" xfId="0" applyAlignment="1" applyFont="1">
      <alignment vertical="bottom"/>
    </xf>
    <xf borderId="0" fillId="0" fontId="2" numFmtId="0" xfId="0" applyAlignment="1" applyFont="1">
      <alignment horizontal="right" vertical="bottom"/>
    </xf>
    <xf borderId="0" fillId="0" fontId="2" numFmtId="0" xfId="0" applyAlignment="1" applyFont="1">
      <alignment horizontal="center"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c r="I1" s="1" t="s">
        <v>8</v>
      </c>
      <c r="J1" s="1" t="s">
        <v>9</v>
      </c>
      <c r="K1" s="1" t="s">
        <v>10</v>
      </c>
      <c r="L1" s="1" t="s">
        <v>11</v>
      </c>
      <c r="M1" s="1" t="s">
        <v>12</v>
      </c>
      <c r="N1" s="1" t="s">
        <v>13</v>
      </c>
    </row>
    <row r="2">
      <c r="A2" s="2" t="s">
        <v>14</v>
      </c>
      <c r="B2" s="2" t="s">
        <v>15</v>
      </c>
      <c r="C2" s="2" t="s">
        <v>16</v>
      </c>
      <c r="D2" s="3">
        <v>2.0</v>
      </c>
      <c r="E2" s="2" t="s">
        <v>17</v>
      </c>
      <c r="F2" s="3">
        <v>0.0</v>
      </c>
      <c r="G2" s="2" t="s">
        <v>18</v>
      </c>
      <c r="H2" s="3">
        <v>0.0</v>
      </c>
      <c r="I2" s="2" t="s">
        <v>19</v>
      </c>
      <c r="J2" s="3">
        <v>0.0</v>
      </c>
      <c r="K2" s="2" t="s">
        <v>20</v>
      </c>
      <c r="L2" s="3">
        <v>0.0</v>
      </c>
      <c r="M2" s="2" t="s">
        <v>21</v>
      </c>
      <c r="N2" s="2" t="s">
        <v>2</v>
      </c>
    </row>
    <row r="3">
      <c r="A3" s="2" t="s">
        <v>22</v>
      </c>
      <c r="B3" s="2" t="s">
        <v>23</v>
      </c>
      <c r="C3" s="2" t="s">
        <v>24</v>
      </c>
      <c r="D3" s="3">
        <v>0.0</v>
      </c>
      <c r="E3" s="2" t="s">
        <v>25</v>
      </c>
      <c r="F3" s="3">
        <v>0.0</v>
      </c>
      <c r="G3" s="2" t="s">
        <v>26</v>
      </c>
      <c r="H3" s="3">
        <v>2.0</v>
      </c>
      <c r="I3" s="2" t="s">
        <v>27</v>
      </c>
      <c r="J3" s="3">
        <v>0.0</v>
      </c>
      <c r="K3" s="2" t="s">
        <v>28</v>
      </c>
      <c r="L3" s="3">
        <v>0.0</v>
      </c>
      <c r="M3" s="2" t="s">
        <v>29</v>
      </c>
      <c r="N3" s="2" t="s">
        <v>6</v>
      </c>
    </row>
    <row r="4">
      <c r="A4" s="2" t="s">
        <v>30</v>
      </c>
      <c r="B4" s="2" t="s">
        <v>31</v>
      </c>
      <c r="C4" s="2" t="s">
        <v>32</v>
      </c>
      <c r="D4" s="3">
        <v>2.0</v>
      </c>
      <c r="E4" s="2" t="s">
        <v>33</v>
      </c>
      <c r="F4" s="3">
        <v>0.0</v>
      </c>
      <c r="G4" s="2" t="s">
        <v>34</v>
      </c>
      <c r="H4" s="3">
        <v>0.0</v>
      </c>
      <c r="I4" s="2" t="s">
        <v>35</v>
      </c>
      <c r="J4" s="3">
        <v>0.0</v>
      </c>
      <c r="K4" s="2" t="s">
        <v>36</v>
      </c>
      <c r="L4" s="3">
        <v>0.0</v>
      </c>
      <c r="M4" s="2" t="s">
        <v>37</v>
      </c>
      <c r="N4" s="2" t="s">
        <v>2</v>
      </c>
    </row>
    <row r="5">
      <c r="A5" s="2" t="s">
        <v>38</v>
      </c>
      <c r="B5" s="2" t="s">
        <v>39</v>
      </c>
      <c r="C5" s="2" t="s">
        <v>40</v>
      </c>
      <c r="D5" s="3">
        <v>0.0</v>
      </c>
      <c r="E5" s="2" t="s">
        <v>41</v>
      </c>
      <c r="F5" s="3">
        <v>2.0</v>
      </c>
      <c r="G5" s="2" t="s">
        <v>42</v>
      </c>
      <c r="H5" s="3">
        <v>0.0</v>
      </c>
      <c r="I5" s="2" t="s">
        <v>43</v>
      </c>
      <c r="J5" s="3">
        <v>0.0</v>
      </c>
      <c r="K5" s="2" t="s">
        <v>44</v>
      </c>
      <c r="L5" s="3">
        <v>0.0</v>
      </c>
      <c r="M5" s="2" t="s">
        <v>45</v>
      </c>
      <c r="N5" s="2" t="s">
        <v>4</v>
      </c>
    </row>
    <row r="6">
      <c r="A6" s="2" t="s">
        <v>46</v>
      </c>
      <c r="B6" s="2" t="s">
        <v>47</v>
      </c>
      <c r="C6" s="2" t="s">
        <v>48</v>
      </c>
      <c r="D6" s="3">
        <v>0.0</v>
      </c>
      <c r="E6" s="2" t="s">
        <v>49</v>
      </c>
      <c r="F6" s="3">
        <v>2.0</v>
      </c>
      <c r="G6" s="2" t="s">
        <v>50</v>
      </c>
      <c r="H6" s="3">
        <v>0.0</v>
      </c>
      <c r="I6" s="2" t="s">
        <v>51</v>
      </c>
      <c r="J6" s="3">
        <v>0.0</v>
      </c>
      <c r="K6" s="2" t="s">
        <v>52</v>
      </c>
      <c r="L6" s="3">
        <v>0.0</v>
      </c>
      <c r="M6" s="2" t="s">
        <v>53</v>
      </c>
      <c r="N6" s="2" t="s">
        <v>4</v>
      </c>
    </row>
    <row r="7">
      <c r="A7" s="2" t="s">
        <v>54</v>
      </c>
      <c r="B7" s="2" t="s">
        <v>55</v>
      </c>
      <c r="C7" s="2" t="s">
        <v>56</v>
      </c>
      <c r="D7" s="3">
        <v>0.0</v>
      </c>
      <c r="E7" s="2" t="s">
        <v>57</v>
      </c>
      <c r="F7" s="3">
        <v>0.0</v>
      </c>
      <c r="G7" s="2" t="s">
        <v>58</v>
      </c>
      <c r="H7" s="3">
        <v>0.0</v>
      </c>
      <c r="I7" s="2" t="s">
        <v>59</v>
      </c>
      <c r="J7" s="3">
        <v>0.0</v>
      </c>
      <c r="K7" s="2" t="s">
        <v>58</v>
      </c>
      <c r="L7" s="3">
        <v>2.0</v>
      </c>
      <c r="M7" s="2" t="s">
        <v>60</v>
      </c>
      <c r="N7" s="2" t="s">
        <v>10</v>
      </c>
    </row>
    <row r="8">
      <c r="A8" s="2" t="s">
        <v>61</v>
      </c>
      <c r="B8" s="2" t="s">
        <v>62</v>
      </c>
      <c r="C8" s="2" t="s">
        <v>63</v>
      </c>
      <c r="D8" s="3">
        <v>0.0</v>
      </c>
      <c r="E8" s="2" t="s">
        <v>64</v>
      </c>
      <c r="F8" s="3">
        <v>2.0</v>
      </c>
      <c r="G8" s="2" t="s">
        <v>65</v>
      </c>
      <c r="H8" s="3">
        <v>0.0</v>
      </c>
      <c r="I8" s="2" t="s">
        <v>66</v>
      </c>
      <c r="J8" s="3">
        <v>0.0</v>
      </c>
      <c r="K8" s="2" t="s">
        <v>67</v>
      </c>
      <c r="L8" s="3">
        <v>0.0</v>
      </c>
      <c r="M8" s="2" t="s">
        <v>68</v>
      </c>
      <c r="N8" s="2" t="s">
        <v>4</v>
      </c>
    </row>
    <row r="9">
      <c r="A9" s="2" t="s">
        <v>69</v>
      </c>
      <c r="B9" s="2" t="s">
        <v>70</v>
      </c>
      <c r="C9" s="2" t="s">
        <v>71</v>
      </c>
      <c r="D9" s="3">
        <v>0.0</v>
      </c>
      <c r="E9" s="2" t="s">
        <v>72</v>
      </c>
      <c r="F9" s="3">
        <v>2.0</v>
      </c>
      <c r="G9" s="2" t="s">
        <v>73</v>
      </c>
      <c r="H9" s="3">
        <v>0.0</v>
      </c>
      <c r="I9" s="2" t="s">
        <v>74</v>
      </c>
      <c r="J9" s="3">
        <v>0.0</v>
      </c>
      <c r="K9" s="2" t="s">
        <v>75</v>
      </c>
      <c r="L9" s="3">
        <v>0.0</v>
      </c>
      <c r="M9" s="2" t="s">
        <v>76</v>
      </c>
      <c r="N9" s="2" t="s">
        <v>4</v>
      </c>
    </row>
    <row r="10">
      <c r="A10" s="2" t="s">
        <v>77</v>
      </c>
      <c r="B10" s="2" t="s">
        <v>78</v>
      </c>
      <c r="C10" s="2" t="s">
        <v>79</v>
      </c>
      <c r="D10" s="3">
        <v>2.0</v>
      </c>
      <c r="E10" s="2" t="s">
        <v>80</v>
      </c>
      <c r="F10" s="3">
        <v>0.0</v>
      </c>
      <c r="G10" s="2" t="s">
        <v>81</v>
      </c>
      <c r="H10" s="3">
        <v>0.0</v>
      </c>
      <c r="I10" s="2" t="s">
        <v>82</v>
      </c>
      <c r="J10" s="3">
        <v>0.0</v>
      </c>
      <c r="K10" s="2" t="s">
        <v>83</v>
      </c>
      <c r="L10" s="3">
        <v>0.0</v>
      </c>
      <c r="M10" s="2" t="s">
        <v>84</v>
      </c>
      <c r="N10" s="2" t="s">
        <v>2</v>
      </c>
    </row>
    <row r="11">
      <c r="A11" s="2" t="s">
        <v>85</v>
      </c>
      <c r="B11" s="2" t="s">
        <v>86</v>
      </c>
      <c r="C11" s="2" t="s">
        <v>87</v>
      </c>
      <c r="D11" s="3">
        <v>2.0</v>
      </c>
      <c r="E11" s="2" t="s">
        <v>88</v>
      </c>
      <c r="F11" s="3">
        <v>0.0</v>
      </c>
      <c r="G11" s="2" t="s">
        <v>89</v>
      </c>
      <c r="H11" s="3">
        <v>0.0</v>
      </c>
      <c r="I11" s="2" t="s">
        <v>90</v>
      </c>
      <c r="J11" s="3">
        <v>0.0</v>
      </c>
      <c r="K11" s="2" t="s">
        <v>91</v>
      </c>
      <c r="L11" s="3">
        <v>0.0</v>
      </c>
      <c r="M11" s="2" t="s">
        <v>92</v>
      </c>
      <c r="N11" s="2" t="s">
        <v>2</v>
      </c>
    </row>
    <row r="12">
      <c r="A12" s="2" t="s">
        <v>22</v>
      </c>
      <c r="B12" s="2" t="s">
        <v>93</v>
      </c>
      <c r="C12" s="2" t="s">
        <v>94</v>
      </c>
      <c r="D12" s="3">
        <v>2.0</v>
      </c>
      <c r="E12" s="2" t="s">
        <v>95</v>
      </c>
      <c r="F12" s="3">
        <v>0.0</v>
      </c>
      <c r="G12" s="2" t="s">
        <v>96</v>
      </c>
      <c r="H12" s="3">
        <v>0.0</v>
      </c>
      <c r="I12" s="2" t="s">
        <v>97</v>
      </c>
      <c r="J12" s="3">
        <v>0.0</v>
      </c>
      <c r="K12" s="2" t="s">
        <v>98</v>
      </c>
      <c r="L12" s="3">
        <v>0.0</v>
      </c>
      <c r="M12" s="2" t="s">
        <v>99</v>
      </c>
      <c r="N12" s="2" t="s">
        <v>2</v>
      </c>
    </row>
    <row r="13">
      <c r="A13" s="2" t="s">
        <v>54</v>
      </c>
      <c r="B13" s="2" t="s">
        <v>100</v>
      </c>
      <c r="C13" s="2" t="s">
        <v>101</v>
      </c>
      <c r="D13" s="3">
        <v>0.0</v>
      </c>
      <c r="E13" s="2" t="s">
        <v>102</v>
      </c>
      <c r="F13" s="3">
        <v>2.0</v>
      </c>
      <c r="G13" s="2" t="s">
        <v>103</v>
      </c>
      <c r="H13" s="3">
        <v>0.0</v>
      </c>
      <c r="I13" s="2" t="s">
        <v>104</v>
      </c>
      <c r="J13" s="3">
        <v>0.0</v>
      </c>
      <c r="K13" s="2" t="s">
        <v>105</v>
      </c>
      <c r="L13" s="3">
        <v>0.0</v>
      </c>
      <c r="M13" s="2" t="s">
        <v>106</v>
      </c>
      <c r="N13" s="2" t="s">
        <v>4</v>
      </c>
    </row>
    <row r="14">
      <c r="A14" s="2" t="s">
        <v>107</v>
      </c>
      <c r="B14" s="2" t="s">
        <v>108</v>
      </c>
      <c r="C14" s="2" t="s">
        <v>109</v>
      </c>
      <c r="D14" s="3">
        <v>2.0</v>
      </c>
      <c r="E14" s="2" t="s">
        <v>110</v>
      </c>
      <c r="F14" s="3">
        <v>0.0</v>
      </c>
      <c r="G14" s="2" t="s">
        <v>111</v>
      </c>
      <c r="H14" s="3">
        <v>0.0</v>
      </c>
      <c r="I14" s="2" t="s">
        <v>112</v>
      </c>
      <c r="J14" s="3">
        <v>0.0</v>
      </c>
      <c r="K14" s="2" t="s">
        <v>113</v>
      </c>
      <c r="L14" s="3">
        <v>0.0</v>
      </c>
      <c r="M14" s="2" t="s">
        <v>114</v>
      </c>
      <c r="N14" s="2" t="s">
        <v>2</v>
      </c>
    </row>
    <row r="15">
      <c r="A15" s="2" t="s">
        <v>14</v>
      </c>
      <c r="B15" s="2" t="s">
        <v>115</v>
      </c>
      <c r="C15" s="2" t="s">
        <v>116</v>
      </c>
      <c r="D15" s="3">
        <v>0.0</v>
      </c>
      <c r="E15" s="2" t="s">
        <v>117</v>
      </c>
      <c r="F15" s="3">
        <v>2.0</v>
      </c>
      <c r="G15" s="4" t="str">
        <f>+20 kJ</f>
        <v>#ERROR!</v>
      </c>
      <c r="H15" s="3">
        <v>0.0</v>
      </c>
      <c r="I15" s="4" t="str">
        <f>+80 kJ</f>
        <v>#ERROR!</v>
      </c>
      <c r="J15" s="3">
        <v>0.0</v>
      </c>
      <c r="K15" s="2" t="s">
        <v>118</v>
      </c>
      <c r="L15" s="3">
        <v>0.0</v>
      </c>
      <c r="M15" s="2" t="s">
        <v>119</v>
      </c>
      <c r="N15" s="2" t="s">
        <v>4</v>
      </c>
    </row>
    <row r="16">
      <c r="A16" s="2" t="s">
        <v>120</v>
      </c>
      <c r="B16" s="2" t="s">
        <v>121</v>
      </c>
      <c r="C16" s="3">
        <v>4.76</v>
      </c>
      <c r="D16" s="3">
        <v>0.0</v>
      </c>
      <c r="E16" s="3">
        <v>5.76</v>
      </c>
      <c r="F16" s="3">
        <v>2.0</v>
      </c>
      <c r="G16" s="3">
        <v>6.76</v>
      </c>
      <c r="H16" s="3">
        <v>0.0</v>
      </c>
      <c r="I16" s="3">
        <v>7.76</v>
      </c>
      <c r="J16" s="3">
        <v>0.0</v>
      </c>
      <c r="K16" s="3">
        <v>3.76</v>
      </c>
      <c r="L16" s="3">
        <v>0.0</v>
      </c>
      <c r="M16" s="2" t="s">
        <v>122</v>
      </c>
      <c r="N16" s="2" t="s">
        <v>4</v>
      </c>
    </row>
    <row r="17">
      <c r="A17" s="2" t="s">
        <v>38</v>
      </c>
      <c r="B17" s="2" t="s">
        <v>123</v>
      </c>
      <c r="C17" s="2" t="s">
        <v>124</v>
      </c>
      <c r="D17" s="3">
        <v>2.0</v>
      </c>
      <c r="E17" s="2" t="s">
        <v>125</v>
      </c>
      <c r="F17" s="3">
        <v>0.0</v>
      </c>
      <c r="G17" s="2" t="s">
        <v>126</v>
      </c>
      <c r="H17" s="3">
        <v>0.0</v>
      </c>
      <c r="I17" s="2" t="s">
        <v>127</v>
      </c>
      <c r="J17" s="3">
        <v>0.0</v>
      </c>
      <c r="K17" s="2" t="s">
        <v>128</v>
      </c>
      <c r="L17" s="3">
        <v>0.0</v>
      </c>
      <c r="M17" s="2" t="s">
        <v>129</v>
      </c>
      <c r="N17" s="2" t="s">
        <v>2</v>
      </c>
    </row>
    <row r="18">
      <c r="A18" s="2" t="s">
        <v>54</v>
      </c>
      <c r="B18" s="2" t="s">
        <v>130</v>
      </c>
      <c r="C18" s="2" t="s">
        <v>131</v>
      </c>
      <c r="D18" s="3">
        <v>2.0</v>
      </c>
      <c r="E18" s="2" t="s">
        <v>132</v>
      </c>
      <c r="F18" s="3">
        <v>0.0</v>
      </c>
      <c r="G18" s="2" t="s">
        <v>133</v>
      </c>
      <c r="H18" s="3">
        <v>0.0</v>
      </c>
      <c r="I18" s="2" t="s">
        <v>134</v>
      </c>
      <c r="J18" s="3">
        <v>0.0</v>
      </c>
      <c r="K18" s="2" t="s">
        <v>135</v>
      </c>
      <c r="L18" s="3">
        <v>0.0</v>
      </c>
      <c r="M18" s="2" t="s">
        <v>136</v>
      </c>
      <c r="N18" s="2" t="s">
        <v>2</v>
      </c>
    </row>
    <row r="19">
      <c r="A19" s="2" t="s">
        <v>137</v>
      </c>
      <c r="B19" s="2" t="s">
        <v>138</v>
      </c>
      <c r="C19" s="2" t="s">
        <v>139</v>
      </c>
      <c r="D19" s="3">
        <v>0.0</v>
      </c>
      <c r="E19" s="2" t="s">
        <v>140</v>
      </c>
      <c r="F19" s="3">
        <v>0.0</v>
      </c>
      <c r="G19" s="2" t="s">
        <v>141</v>
      </c>
      <c r="H19" s="3">
        <v>2.0</v>
      </c>
      <c r="I19" s="2" t="s">
        <v>142</v>
      </c>
      <c r="J19" s="3">
        <v>0.0</v>
      </c>
      <c r="K19" s="2" t="s">
        <v>143</v>
      </c>
      <c r="L19" s="3">
        <v>0.0</v>
      </c>
      <c r="M19" s="2" t="s">
        <v>144</v>
      </c>
      <c r="N19" s="2" t="s">
        <v>6</v>
      </c>
    </row>
    <row r="20">
      <c r="A20" s="2" t="s">
        <v>145</v>
      </c>
      <c r="B20" s="2" t="s">
        <v>146</v>
      </c>
      <c r="C20" s="2" t="s">
        <v>147</v>
      </c>
      <c r="D20" s="3">
        <v>0.0</v>
      </c>
      <c r="E20" s="2" t="s">
        <v>148</v>
      </c>
      <c r="F20" s="3">
        <v>0.0</v>
      </c>
      <c r="G20" s="2" t="s">
        <v>149</v>
      </c>
      <c r="H20" s="3">
        <v>0.0</v>
      </c>
      <c r="I20" s="2" t="s">
        <v>150</v>
      </c>
      <c r="J20" s="3">
        <v>2.0</v>
      </c>
      <c r="K20" s="2" t="s">
        <v>151</v>
      </c>
      <c r="L20" s="3">
        <v>0.0</v>
      </c>
      <c r="M20" s="2" t="s">
        <v>152</v>
      </c>
      <c r="N20" s="2" t="s">
        <v>8</v>
      </c>
    </row>
    <row r="21">
      <c r="A21" s="2" t="s">
        <v>61</v>
      </c>
      <c r="B21" s="2" t="s">
        <v>153</v>
      </c>
      <c r="C21" s="2" t="s">
        <v>154</v>
      </c>
      <c r="D21" s="3">
        <v>0.0</v>
      </c>
      <c r="E21" s="2" t="s">
        <v>155</v>
      </c>
      <c r="F21" s="3">
        <v>0.0</v>
      </c>
      <c r="G21" s="2" t="s">
        <v>156</v>
      </c>
      <c r="H21" s="3">
        <v>2.0</v>
      </c>
      <c r="I21" s="2" t="s">
        <v>157</v>
      </c>
      <c r="J21" s="3">
        <v>0.0</v>
      </c>
      <c r="K21" s="2" t="s">
        <v>158</v>
      </c>
      <c r="L21" s="3">
        <v>0.0</v>
      </c>
      <c r="M21" s="2" t="s">
        <v>159</v>
      </c>
      <c r="N21" s="2" t="s">
        <v>6</v>
      </c>
    </row>
    <row r="22">
      <c r="A22" s="2" t="s">
        <v>160</v>
      </c>
      <c r="B22" s="2" t="s">
        <v>161</v>
      </c>
      <c r="C22" s="2" t="s">
        <v>162</v>
      </c>
      <c r="D22" s="3">
        <v>2.0</v>
      </c>
      <c r="E22" s="2" t="s">
        <v>163</v>
      </c>
      <c r="F22" s="3">
        <v>0.0</v>
      </c>
      <c r="G22" s="2" t="s">
        <v>164</v>
      </c>
      <c r="H22" s="3">
        <v>0.0</v>
      </c>
      <c r="I22" s="2" t="s">
        <v>165</v>
      </c>
      <c r="J22" s="3">
        <v>0.0</v>
      </c>
      <c r="K22" s="2" t="s">
        <v>166</v>
      </c>
      <c r="L22" s="3">
        <v>0.0</v>
      </c>
      <c r="M22" s="2" t="s">
        <v>167</v>
      </c>
      <c r="N22" s="2" t="s">
        <v>2</v>
      </c>
    </row>
    <row r="23">
      <c r="A23" s="2" t="s">
        <v>38</v>
      </c>
      <c r="B23" s="2" t="s">
        <v>168</v>
      </c>
      <c r="C23" s="2" t="s">
        <v>169</v>
      </c>
      <c r="D23" s="3">
        <v>2.0</v>
      </c>
      <c r="E23" s="2" t="s">
        <v>170</v>
      </c>
      <c r="F23" s="3">
        <v>0.0</v>
      </c>
      <c r="G23" s="2" t="s">
        <v>171</v>
      </c>
      <c r="H23" s="3">
        <v>0.0</v>
      </c>
      <c r="I23" s="2" t="s">
        <v>172</v>
      </c>
      <c r="J23" s="3">
        <v>0.0</v>
      </c>
      <c r="K23" s="2" t="s">
        <v>173</v>
      </c>
      <c r="L23" s="3">
        <v>0.0</v>
      </c>
      <c r="M23" s="2" t="s">
        <v>174</v>
      </c>
      <c r="N23" s="2" t="s">
        <v>2</v>
      </c>
    </row>
    <row r="24">
      <c r="A24" s="2" t="s">
        <v>14</v>
      </c>
      <c r="B24" s="2" t="s">
        <v>175</v>
      </c>
      <c r="C24" s="2" t="s">
        <v>176</v>
      </c>
      <c r="D24" s="3">
        <v>2.0</v>
      </c>
      <c r="E24" s="2" t="s">
        <v>177</v>
      </c>
      <c r="F24" s="3">
        <v>0.0</v>
      </c>
      <c r="G24" s="2" t="s">
        <v>178</v>
      </c>
      <c r="H24" s="3">
        <v>0.0</v>
      </c>
      <c r="I24" s="2" t="s">
        <v>179</v>
      </c>
      <c r="J24" s="3">
        <v>0.0</v>
      </c>
      <c r="K24" s="2" t="s">
        <v>180</v>
      </c>
      <c r="L24" s="3">
        <v>0.0</v>
      </c>
      <c r="M24" s="2" t="s">
        <v>181</v>
      </c>
      <c r="N24" s="2" t="s">
        <v>2</v>
      </c>
    </row>
    <row r="25">
      <c r="A25" s="2" t="s">
        <v>22</v>
      </c>
      <c r="B25" s="2" t="s">
        <v>182</v>
      </c>
      <c r="C25" s="2" t="s">
        <v>183</v>
      </c>
      <c r="D25" s="3">
        <v>0.0</v>
      </c>
      <c r="E25" s="2" t="s">
        <v>184</v>
      </c>
      <c r="F25" s="3">
        <v>0.0</v>
      </c>
      <c r="G25" s="2" t="s">
        <v>185</v>
      </c>
      <c r="H25" s="3">
        <v>2.0</v>
      </c>
      <c r="I25" s="2" t="s">
        <v>186</v>
      </c>
      <c r="J25" s="3">
        <v>0.0</v>
      </c>
      <c r="K25" s="2" t="s">
        <v>187</v>
      </c>
      <c r="L25" s="3">
        <v>0.0</v>
      </c>
      <c r="M25" s="2" t="s">
        <v>188</v>
      </c>
      <c r="N25" s="2" t="s">
        <v>6</v>
      </c>
    </row>
    <row r="26">
      <c r="A26" s="2" t="s">
        <v>61</v>
      </c>
      <c r="B26" s="2" t="s">
        <v>189</v>
      </c>
      <c r="C26" s="2" t="s">
        <v>190</v>
      </c>
      <c r="D26" s="3">
        <v>0.0</v>
      </c>
      <c r="E26" s="2" t="s">
        <v>191</v>
      </c>
      <c r="F26" s="3">
        <v>2.0</v>
      </c>
      <c r="G26" s="2" t="s">
        <v>192</v>
      </c>
      <c r="H26" s="3">
        <v>0.0</v>
      </c>
      <c r="I26" s="2" t="s">
        <v>193</v>
      </c>
      <c r="J26" s="3">
        <v>0.0</v>
      </c>
      <c r="K26" s="2" t="s">
        <v>194</v>
      </c>
      <c r="L26" s="3">
        <v>0.0</v>
      </c>
      <c r="M26" s="2" t="s">
        <v>195</v>
      </c>
      <c r="N26" s="2" t="s">
        <v>4</v>
      </c>
    </row>
    <row r="27">
      <c r="A27" s="2" t="s">
        <v>30</v>
      </c>
      <c r="B27" s="2" t="s">
        <v>196</v>
      </c>
      <c r="C27" s="2" t="s">
        <v>197</v>
      </c>
      <c r="D27" s="3">
        <v>0.0</v>
      </c>
      <c r="E27" s="2" t="s">
        <v>198</v>
      </c>
      <c r="F27" s="3">
        <v>0.0</v>
      </c>
      <c r="G27" s="2" t="s">
        <v>199</v>
      </c>
      <c r="H27" s="3">
        <v>2.0</v>
      </c>
      <c r="I27" s="2" t="s">
        <v>200</v>
      </c>
      <c r="J27" s="3">
        <v>0.0</v>
      </c>
      <c r="K27" s="2" t="s">
        <v>201</v>
      </c>
      <c r="L27" s="3">
        <v>0.0</v>
      </c>
      <c r="M27" s="2" t="s">
        <v>202</v>
      </c>
      <c r="N27" s="2" t="s">
        <v>6</v>
      </c>
    </row>
    <row r="28">
      <c r="A28" s="2" t="s">
        <v>54</v>
      </c>
      <c r="B28" s="2" t="s">
        <v>203</v>
      </c>
      <c r="C28" s="2" t="s">
        <v>204</v>
      </c>
      <c r="D28" s="3">
        <v>0.0</v>
      </c>
      <c r="E28" s="2" t="s">
        <v>205</v>
      </c>
      <c r="F28" s="3">
        <v>0.0</v>
      </c>
      <c r="G28" s="2" t="s">
        <v>206</v>
      </c>
      <c r="H28" s="3">
        <v>0.0</v>
      </c>
      <c r="I28" s="2" t="s">
        <v>207</v>
      </c>
      <c r="J28" s="3">
        <v>2.0</v>
      </c>
      <c r="K28" s="2" t="s">
        <v>208</v>
      </c>
      <c r="L28" s="3">
        <v>0.0</v>
      </c>
      <c r="M28" s="2" t="s">
        <v>209</v>
      </c>
      <c r="N28" s="2" t="s">
        <v>8</v>
      </c>
    </row>
    <row r="29">
      <c r="A29" s="2" t="s">
        <v>210</v>
      </c>
      <c r="B29" s="2" t="s">
        <v>211</v>
      </c>
      <c r="C29" s="2" t="s">
        <v>212</v>
      </c>
      <c r="D29" s="3">
        <v>0.0</v>
      </c>
      <c r="E29" s="2" t="s">
        <v>213</v>
      </c>
      <c r="F29" s="3">
        <v>0.0</v>
      </c>
      <c r="G29" s="2" t="s">
        <v>214</v>
      </c>
      <c r="H29" s="3">
        <v>0.0</v>
      </c>
      <c r="I29" s="2" t="s">
        <v>215</v>
      </c>
      <c r="J29" s="3">
        <v>0.0</v>
      </c>
      <c r="K29" s="2" t="s">
        <v>216</v>
      </c>
      <c r="L29" s="3">
        <v>2.0</v>
      </c>
      <c r="M29" s="2" t="s">
        <v>217</v>
      </c>
      <c r="N29" s="2" t="s">
        <v>10</v>
      </c>
    </row>
    <row r="30">
      <c r="A30" s="2" t="s">
        <v>145</v>
      </c>
      <c r="B30" s="2" t="s">
        <v>218</v>
      </c>
      <c r="C30" s="2" t="s">
        <v>219</v>
      </c>
      <c r="D30" s="3">
        <v>0.0</v>
      </c>
      <c r="E30" s="2" t="s">
        <v>220</v>
      </c>
      <c r="F30" s="3">
        <v>2.0</v>
      </c>
      <c r="G30" s="2" t="s">
        <v>221</v>
      </c>
      <c r="H30" s="3">
        <v>0.0</v>
      </c>
      <c r="I30" s="2" t="s">
        <v>222</v>
      </c>
      <c r="J30" s="3">
        <v>0.0</v>
      </c>
      <c r="K30" s="2" t="s">
        <v>223</v>
      </c>
      <c r="L30" s="3">
        <v>0.0</v>
      </c>
      <c r="M30" s="2" t="s">
        <v>224</v>
      </c>
      <c r="N30" s="2" t="s">
        <v>4</v>
      </c>
    </row>
    <row r="31">
      <c r="A31" s="2" t="s">
        <v>38</v>
      </c>
      <c r="B31" s="2" t="s">
        <v>225</v>
      </c>
      <c r="C31" s="3">
        <f>+2</f>
        <v>2</v>
      </c>
      <c r="D31" s="3">
        <v>0.0</v>
      </c>
      <c r="E31" s="3">
        <f>+4</f>
        <v>4</v>
      </c>
      <c r="F31" s="3">
        <v>0.0</v>
      </c>
      <c r="G31" s="3">
        <f>+6</f>
        <v>6</v>
      </c>
      <c r="H31" s="3">
        <v>2.0</v>
      </c>
      <c r="I31" s="3">
        <v>0.0</v>
      </c>
      <c r="J31" s="3">
        <v>0.0</v>
      </c>
      <c r="K31" s="3">
        <v>-2.0</v>
      </c>
      <c r="L31" s="3">
        <v>0.0</v>
      </c>
      <c r="M31" s="2" t="s">
        <v>226</v>
      </c>
      <c r="N31" s="2" t="s">
        <v>6</v>
      </c>
    </row>
    <row r="32">
      <c r="A32" s="2" t="s">
        <v>77</v>
      </c>
      <c r="B32" s="2" t="s">
        <v>227</v>
      </c>
      <c r="C32" s="2" t="s">
        <v>228</v>
      </c>
      <c r="D32" s="3">
        <v>2.0</v>
      </c>
      <c r="E32" s="2" t="s">
        <v>229</v>
      </c>
      <c r="F32" s="3">
        <v>0.0</v>
      </c>
      <c r="G32" s="2" t="s">
        <v>230</v>
      </c>
      <c r="H32" s="3">
        <v>0.0</v>
      </c>
      <c r="I32" s="2" t="s">
        <v>231</v>
      </c>
      <c r="J32" s="3">
        <v>0.0</v>
      </c>
      <c r="K32" s="2" t="s">
        <v>232</v>
      </c>
      <c r="L32" s="3">
        <v>0.0</v>
      </c>
      <c r="M32" s="2" t="s">
        <v>233</v>
      </c>
      <c r="N32" s="2" t="s">
        <v>2</v>
      </c>
    </row>
    <row r="33">
      <c r="A33" s="2" t="s">
        <v>234</v>
      </c>
      <c r="B33" s="2" t="s">
        <v>235</v>
      </c>
      <c r="C33" s="2" t="s">
        <v>236</v>
      </c>
      <c r="D33" s="3">
        <v>0.0</v>
      </c>
      <c r="E33" s="2" t="s">
        <v>237</v>
      </c>
      <c r="F33" s="3">
        <v>2.0</v>
      </c>
      <c r="G33" s="2" t="s">
        <v>238</v>
      </c>
      <c r="H33" s="3">
        <v>0.0</v>
      </c>
      <c r="I33" s="2" t="s">
        <v>239</v>
      </c>
      <c r="J33" s="3">
        <v>0.0</v>
      </c>
      <c r="K33" s="2" t="s">
        <v>240</v>
      </c>
      <c r="L33" s="3">
        <v>0.0</v>
      </c>
      <c r="M33" s="2" t="s">
        <v>241</v>
      </c>
      <c r="N33" s="2" t="s">
        <v>4</v>
      </c>
    </row>
    <row r="34">
      <c r="A34" s="2" t="s">
        <v>22</v>
      </c>
      <c r="B34" s="2" t="s">
        <v>242</v>
      </c>
      <c r="C34" s="2" t="s">
        <v>243</v>
      </c>
      <c r="D34" s="3">
        <v>0.0</v>
      </c>
      <c r="E34" s="2" t="s">
        <v>244</v>
      </c>
      <c r="F34" s="3">
        <v>0.0</v>
      </c>
      <c r="G34" s="2" t="s">
        <v>245</v>
      </c>
      <c r="H34" s="3">
        <v>0.0</v>
      </c>
      <c r="I34" s="2" t="s">
        <v>246</v>
      </c>
      <c r="J34" s="3">
        <v>2.0</v>
      </c>
      <c r="K34" s="2" t="s">
        <v>247</v>
      </c>
      <c r="L34" s="3">
        <v>0.0</v>
      </c>
      <c r="M34" s="2" t="s">
        <v>248</v>
      </c>
      <c r="N34" s="2" t="s">
        <v>8</v>
      </c>
    </row>
    <row r="35">
      <c r="A35" s="2" t="s">
        <v>61</v>
      </c>
      <c r="B35" s="2" t="s">
        <v>249</v>
      </c>
      <c r="C35" s="2" t="s">
        <v>191</v>
      </c>
      <c r="D35" s="3">
        <v>2.0</v>
      </c>
      <c r="E35" s="2" t="s">
        <v>190</v>
      </c>
      <c r="F35" s="3">
        <v>0.0</v>
      </c>
      <c r="G35" s="2" t="s">
        <v>192</v>
      </c>
      <c r="H35" s="3">
        <v>0.0</v>
      </c>
      <c r="I35" s="2" t="s">
        <v>250</v>
      </c>
      <c r="J35" s="3">
        <v>0.0</v>
      </c>
      <c r="K35" s="2" t="s">
        <v>251</v>
      </c>
      <c r="L35" s="3">
        <v>0.0</v>
      </c>
      <c r="M35" s="2" t="s">
        <v>252</v>
      </c>
      <c r="N35" s="2" t="s">
        <v>2</v>
      </c>
    </row>
    <row r="36">
      <c r="A36" s="2" t="s">
        <v>253</v>
      </c>
      <c r="B36" s="2" t="s">
        <v>254</v>
      </c>
      <c r="C36" s="2" t="s">
        <v>255</v>
      </c>
      <c r="D36" s="3">
        <v>0.0</v>
      </c>
      <c r="E36" s="2" t="s">
        <v>256</v>
      </c>
      <c r="F36" s="3">
        <v>2.0</v>
      </c>
      <c r="G36" s="2" t="s">
        <v>257</v>
      </c>
      <c r="H36" s="3">
        <v>0.0</v>
      </c>
      <c r="I36" s="2" t="s">
        <v>258</v>
      </c>
      <c r="J36" s="3">
        <v>0.0</v>
      </c>
      <c r="K36" s="2" t="s">
        <v>259</v>
      </c>
      <c r="L36" s="3">
        <v>0.0</v>
      </c>
      <c r="M36" s="2" t="s">
        <v>260</v>
      </c>
      <c r="N36" s="2" t="s">
        <v>4</v>
      </c>
    </row>
    <row r="37">
      <c r="A37" s="2" t="s">
        <v>38</v>
      </c>
      <c r="B37" s="2" t="s">
        <v>261</v>
      </c>
      <c r="C37" s="2" t="s">
        <v>262</v>
      </c>
      <c r="D37" s="3">
        <v>2.0</v>
      </c>
      <c r="E37" s="2" t="s">
        <v>263</v>
      </c>
      <c r="F37" s="3">
        <v>0.0</v>
      </c>
      <c r="G37" s="2" t="s">
        <v>264</v>
      </c>
      <c r="H37" s="3">
        <v>0.0</v>
      </c>
      <c r="I37" s="2" t="s">
        <v>265</v>
      </c>
      <c r="J37" s="3">
        <v>0.0</v>
      </c>
      <c r="K37" s="2" t="s">
        <v>266</v>
      </c>
      <c r="L37" s="3">
        <v>0.0</v>
      </c>
      <c r="M37" s="2" t="s">
        <v>267</v>
      </c>
      <c r="N37" s="2" t="s">
        <v>2</v>
      </c>
    </row>
    <row r="38">
      <c r="A38" s="2" t="s">
        <v>145</v>
      </c>
      <c r="B38" s="2" t="s">
        <v>268</v>
      </c>
      <c r="C38" s="2" t="s">
        <v>269</v>
      </c>
      <c r="D38" s="3">
        <v>0.0</v>
      </c>
      <c r="E38" s="2" t="s">
        <v>270</v>
      </c>
      <c r="F38" s="3">
        <v>2.0</v>
      </c>
      <c r="G38" s="2" t="s">
        <v>271</v>
      </c>
      <c r="H38" s="3">
        <v>0.0</v>
      </c>
      <c r="I38" s="2" t="s">
        <v>272</v>
      </c>
      <c r="J38" s="3">
        <v>0.0</v>
      </c>
      <c r="K38" s="2" t="s">
        <v>273</v>
      </c>
      <c r="L38" s="3">
        <v>0.0</v>
      </c>
      <c r="M38" s="2" t="s">
        <v>274</v>
      </c>
      <c r="N38" s="2" t="s">
        <v>4</v>
      </c>
    </row>
    <row r="39">
      <c r="A39" s="2" t="s">
        <v>54</v>
      </c>
      <c r="B39" s="2" t="s">
        <v>275</v>
      </c>
      <c r="C39" s="2" t="s">
        <v>276</v>
      </c>
      <c r="D39" s="3">
        <v>0.0</v>
      </c>
      <c r="E39" s="2" t="s">
        <v>277</v>
      </c>
      <c r="F39" s="3">
        <v>2.0</v>
      </c>
      <c r="G39" s="2" t="s">
        <v>278</v>
      </c>
      <c r="H39" s="3">
        <v>0.0</v>
      </c>
      <c r="I39" s="2" t="s">
        <v>279</v>
      </c>
      <c r="J39" s="3">
        <v>0.0</v>
      </c>
      <c r="K39" s="2" t="s">
        <v>280</v>
      </c>
      <c r="L39" s="3">
        <v>0.0</v>
      </c>
      <c r="M39" s="2" t="s">
        <v>281</v>
      </c>
      <c r="N39" s="2" t="s">
        <v>4</v>
      </c>
    </row>
    <row r="40">
      <c r="A40" s="2" t="s">
        <v>69</v>
      </c>
      <c r="B40" s="2" t="s">
        <v>282</v>
      </c>
      <c r="C40" s="3">
        <v>5.0</v>
      </c>
      <c r="D40" s="3">
        <v>0.0</v>
      </c>
      <c r="E40" s="3">
        <v>6.0</v>
      </c>
      <c r="F40" s="3">
        <v>0.0</v>
      </c>
      <c r="G40" s="3">
        <v>7.0</v>
      </c>
      <c r="H40" s="3">
        <v>2.0</v>
      </c>
      <c r="I40" s="3">
        <v>8.0</v>
      </c>
      <c r="J40" s="3">
        <v>0.0</v>
      </c>
      <c r="K40" s="3">
        <v>9.0</v>
      </c>
      <c r="L40" s="3">
        <v>0.0</v>
      </c>
      <c r="M40" s="2" t="s">
        <v>283</v>
      </c>
      <c r="N40" s="2" t="s">
        <v>6</v>
      </c>
    </row>
    <row r="41">
      <c r="A41" s="2" t="s">
        <v>284</v>
      </c>
      <c r="B41" s="2" t="s">
        <v>285</v>
      </c>
      <c r="C41" s="2" t="s">
        <v>286</v>
      </c>
      <c r="D41" s="3">
        <v>0.0</v>
      </c>
      <c r="E41" s="2" t="s">
        <v>287</v>
      </c>
      <c r="F41" s="3">
        <v>0.0</v>
      </c>
      <c r="G41" s="2" t="s">
        <v>288</v>
      </c>
      <c r="H41" s="3">
        <v>0.0</v>
      </c>
      <c r="I41" s="2" t="s">
        <v>289</v>
      </c>
      <c r="J41" s="3">
        <v>2.0</v>
      </c>
      <c r="K41" s="2" t="s">
        <v>290</v>
      </c>
      <c r="L41" s="3">
        <v>0.0</v>
      </c>
      <c r="M41" s="2" t="s">
        <v>291</v>
      </c>
      <c r="N41" s="2" t="s">
        <v>8</v>
      </c>
    </row>
    <row r="42">
      <c r="A42" s="2" t="s">
        <v>292</v>
      </c>
      <c r="B42" s="2" t="s">
        <v>293</v>
      </c>
      <c r="C42" s="2" t="s">
        <v>294</v>
      </c>
      <c r="D42" s="3">
        <v>0.0</v>
      </c>
      <c r="E42" s="2" t="s">
        <v>295</v>
      </c>
      <c r="F42" s="3">
        <v>2.0</v>
      </c>
      <c r="G42" s="2" t="s">
        <v>296</v>
      </c>
      <c r="H42" s="3">
        <v>0.0</v>
      </c>
      <c r="I42" s="2" t="s">
        <v>297</v>
      </c>
      <c r="J42" s="3">
        <v>0.0</v>
      </c>
      <c r="K42" s="2" t="s">
        <v>298</v>
      </c>
      <c r="L42" s="3">
        <v>0.0</v>
      </c>
      <c r="M42" s="2" t="s">
        <v>299</v>
      </c>
      <c r="N42" s="2" t="s">
        <v>4</v>
      </c>
    </row>
    <row r="43">
      <c r="A43" s="2" t="s">
        <v>300</v>
      </c>
      <c r="B43" s="2" t="s">
        <v>301</v>
      </c>
      <c r="C43" s="3">
        <v>4.5</v>
      </c>
      <c r="D43" s="3">
        <v>0.0</v>
      </c>
      <c r="E43" s="3">
        <v>5.1</v>
      </c>
      <c r="F43" s="3">
        <v>0.0</v>
      </c>
      <c r="G43" s="3">
        <v>5.6</v>
      </c>
      <c r="H43" s="3">
        <v>0.0</v>
      </c>
      <c r="I43" s="3">
        <v>5.3</v>
      </c>
      <c r="J43" s="3">
        <v>0.0</v>
      </c>
      <c r="K43" s="3">
        <v>5.0</v>
      </c>
      <c r="L43" s="3">
        <v>2.0</v>
      </c>
      <c r="M43" s="2" t="s">
        <v>302</v>
      </c>
      <c r="N43" s="2" t="s">
        <v>10</v>
      </c>
    </row>
    <row r="44">
      <c r="A44" s="2" t="s">
        <v>303</v>
      </c>
      <c r="B44" s="2" t="s">
        <v>304</v>
      </c>
      <c r="C44" s="2" t="s">
        <v>305</v>
      </c>
      <c r="D44" s="3">
        <v>2.0</v>
      </c>
      <c r="E44" s="2" t="s">
        <v>306</v>
      </c>
      <c r="F44" s="3">
        <v>0.0</v>
      </c>
      <c r="G44" s="2" t="s">
        <v>307</v>
      </c>
      <c r="H44" s="3">
        <v>0.0</v>
      </c>
      <c r="I44" s="2" t="s">
        <v>308</v>
      </c>
      <c r="J44" s="3">
        <v>0.0</v>
      </c>
      <c r="K44" s="2" t="s">
        <v>309</v>
      </c>
      <c r="L44" s="3">
        <v>0.0</v>
      </c>
      <c r="M44" s="2" t="s">
        <v>310</v>
      </c>
      <c r="N44" s="2" t="s">
        <v>2</v>
      </c>
    </row>
    <row r="45">
      <c r="A45" s="2" t="s">
        <v>311</v>
      </c>
      <c r="B45" s="2" t="s">
        <v>312</v>
      </c>
      <c r="C45" s="2" t="s">
        <v>313</v>
      </c>
      <c r="D45" s="3">
        <v>0.0</v>
      </c>
      <c r="E45" s="2" t="s">
        <v>314</v>
      </c>
      <c r="F45" s="3">
        <v>2.0</v>
      </c>
      <c r="G45" s="2" t="s">
        <v>315</v>
      </c>
      <c r="H45" s="3">
        <v>0.0</v>
      </c>
      <c r="I45" s="2" t="s">
        <v>316</v>
      </c>
      <c r="J45" s="3">
        <v>0.0</v>
      </c>
      <c r="K45" s="2" t="s">
        <v>317</v>
      </c>
      <c r="L45" s="3">
        <v>0.0</v>
      </c>
      <c r="M45" s="2" t="s">
        <v>318</v>
      </c>
      <c r="N45" s="2" t="s">
        <v>4</v>
      </c>
    </row>
    <row r="46">
      <c r="A46" s="2" t="s">
        <v>22</v>
      </c>
      <c r="B46" s="2" t="s">
        <v>319</v>
      </c>
      <c r="C46" s="2" t="s">
        <v>320</v>
      </c>
      <c r="D46" s="3">
        <v>0.0</v>
      </c>
      <c r="E46" s="2" t="s">
        <v>321</v>
      </c>
      <c r="F46" s="3">
        <v>2.0</v>
      </c>
      <c r="G46" s="2" t="s">
        <v>322</v>
      </c>
      <c r="H46" s="3">
        <v>0.0</v>
      </c>
      <c r="I46" s="2" t="s">
        <v>323</v>
      </c>
      <c r="J46" s="3">
        <v>0.0</v>
      </c>
      <c r="K46" s="2" t="s">
        <v>324</v>
      </c>
      <c r="L46" s="3">
        <v>0.0</v>
      </c>
      <c r="M46" s="2" t="s">
        <v>325</v>
      </c>
      <c r="N46" s="2" t="s">
        <v>4</v>
      </c>
    </row>
    <row r="47">
      <c r="A47" s="2" t="s">
        <v>14</v>
      </c>
      <c r="B47" s="2" t="s">
        <v>326</v>
      </c>
      <c r="C47" s="2" t="s">
        <v>327</v>
      </c>
      <c r="D47" s="3">
        <v>2.0</v>
      </c>
      <c r="E47" s="2" t="s">
        <v>328</v>
      </c>
      <c r="F47" s="3">
        <v>0.0</v>
      </c>
      <c r="G47" s="2" t="s">
        <v>329</v>
      </c>
      <c r="H47" s="3">
        <v>0.0</v>
      </c>
      <c r="I47" s="2" t="s">
        <v>330</v>
      </c>
      <c r="J47" s="3">
        <v>0.0</v>
      </c>
      <c r="K47" s="2" t="s">
        <v>331</v>
      </c>
      <c r="L47" s="3">
        <v>0.0</v>
      </c>
      <c r="M47" s="2" t="s">
        <v>332</v>
      </c>
      <c r="N47" s="2" t="s">
        <v>2</v>
      </c>
    </row>
    <row r="48">
      <c r="A48" s="2" t="s">
        <v>333</v>
      </c>
      <c r="B48" s="2" t="s">
        <v>334</v>
      </c>
      <c r="C48" s="2" t="s">
        <v>335</v>
      </c>
      <c r="D48" s="3">
        <v>0.0</v>
      </c>
      <c r="E48" s="2" t="s">
        <v>336</v>
      </c>
      <c r="F48" s="3">
        <v>0.0</v>
      </c>
      <c r="G48" s="2" t="s">
        <v>337</v>
      </c>
      <c r="H48" s="3">
        <v>2.0</v>
      </c>
      <c r="I48" s="2" t="s">
        <v>338</v>
      </c>
      <c r="J48" s="3">
        <v>0.0</v>
      </c>
      <c r="K48" s="2" t="s">
        <v>339</v>
      </c>
      <c r="L48" s="3">
        <v>0.0</v>
      </c>
      <c r="M48" s="2" t="s">
        <v>340</v>
      </c>
      <c r="N48" s="2" t="s">
        <v>6</v>
      </c>
    </row>
    <row r="49">
      <c r="A49" s="2" t="s">
        <v>341</v>
      </c>
      <c r="B49" s="2" t="s">
        <v>342</v>
      </c>
      <c r="C49" s="2" t="s">
        <v>343</v>
      </c>
      <c r="D49" s="3">
        <v>0.0</v>
      </c>
      <c r="E49" s="2" t="s">
        <v>344</v>
      </c>
      <c r="F49" s="3">
        <v>2.0</v>
      </c>
      <c r="G49" s="2" t="s">
        <v>345</v>
      </c>
      <c r="H49" s="3">
        <v>0.0</v>
      </c>
      <c r="I49" s="2" t="s">
        <v>346</v>
      </c>
      <c r="J49" s="3">
        <v>0.0</v>
      </c>
      <c r="K49" s="2" t="s">
        <v>343</v>
      </c>
      <c r="L49" s="3">
        <v>0.0</v>
      </c>
      <c r="M49" s="2" t="s">
        <v>347</v>
      </c>
      <c r="N49" s="2" t="s">
        <v>4</v>
      </c>
    </row>
    <row r="50">
      <c r="A50" s="2" t="s">
        <v>77</v>
      </c>
      <c r="B50" s="2" t="s">
        <v>348</v>
      </c>
      <c r="C50" s="2" t="s">
        <v>349</v>
      </c>
      <c r="D50" s="3">
        <v>2.0</v>
      </c>
      <c r="E50" s="2" t="s">
        <v>350</v>
      </c>
      <c r="F50" s="3">
        <v>0.0</v>
      </c>
      <c r="G50" s="2" t="s">
        <v>351</v>
      </c>
      <c r="H50" s="3">
        <v>0.0</v>
      </c>
      <c r="I50" s="2" t="s">
        <v>352</v>
      </c>
      <c r="J50" s="3">
        <v>0.0</v>
      </c>
      <c r="K50" s="2" t="s">
        <v>353</v>
      </c>
      <c r="L50" s="3">
        <v>0.0</v>
      </c>
      <c r="M50" s="2" t="s">
        <v>354</v>
      </c>
      <c r="N50" s="2" t="s">
        <v>2</v>
      </c>
    </row>
    <row r="51">
      <c r="A51" s="2" t="s">
        <v>54</v>
      </c>
      <c r="B51" s="2" t="s">
        <v>355</v>
      </c>
      <c r="C51" s="2" t="s">
        <v>356</v>
      </c>
      <c r="D51" s="3">
        <v>0.0</v>
      </c>
      <c r="E51" s="2" t="s">
        <v>357</v>
      </c>
      <c r="F51" s="3">
        <v>0.0</v>
      </c>
      <c r="G51" s="2" t="s">
        <v>358</v>
      </c>
      <c r="H51" s="3">
        <v>0.0</v>
      </c>
      <c r="I51" s="2" t="s">
        <v>359</v>
      </c>
      <c r="J51" s="3">
        <v>2.0</v>
      </c>
      <c r="K51" s="2" t="s">
        <v>360</v>
      </c>
      <c r="L51" s="3">
        <v>0.0</v>
      </c>
      <c r="M51" s="2" t="s">
        <v>361</v>
      </c>
      <c r="N51" s="2" t="s">
        <v>8</v>
      </c>
    </row>
  </sheetData>
  <drawing r:id="rId1"/>
</worksheet>
</file>