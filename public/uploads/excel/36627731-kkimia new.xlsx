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<sst xmlns="http://schemas.openxmlformats.org/spreadsheetml/2006/main" count="432" uniqueCount="337">
  <si>
    <t>Sub Category</t>
  </si>
  <si>
    <t>Soal</t>
  </si>
  <si>
    <t>A</t>
  </si>
  <si>
    <t>Point A</t>
  </si>
  <si>
    <t>B</t>
  </si>
  <si>
    <t>Point B</t>
  </si>
  <si>
    <t>C</t>
  </si>
  <si>
    <t>Point C</t>
  </si>
  <si>
    <t>D</t>
  </si>
  <si>
    <t>Point D</t>
  </si>
  <si>
    <t>E</t>
  </si>
  <si>
    <t>Point E</t>
  </si>
  <si>
    <t>Pembahasan</t>
  </si>
  <si>
    <t>Jawaban benar</t>
  </si>
  <si>
    <t>Struktur Atom &amp; Sistem Periodik</t>
  </si>
  <si>
    <t>Dalam sistem periodik unsur, tren energi ionisasi sangat dipengaruhi oleh gaya tarik inti efektif terhadap elektron valensi. Misalnya, unsur-unsur dalam satu periode dari kiri ke kanan cenderung mengalami kenaikan energi ionisasi, tetapi terdapat anomali pada kelompok tertentu karena konfigurasi setengah penuh atau penuh lebih stabil. Jika Anda diminta menganalisis mengapa oksigen memiliki energi ionisasi pertama lebih rendah daripada nitrogen, maka apa penjelasan yang paling tepat?</t>
  </si>
  <si>
    <t>Karena oksigen lebih elektronegatif daripada nitrogen sehingga mudah kehilangan elektron</t>
  </si>
  <si>
    <t>Karena konfigurasi nitrogen setengah penuh (2p³) lebih stabil dibanding oksigen (2p⁴)</t>
  </si>
  <si>
    <t>Karena oksigen terletak lebih ke kanan sehingga ukuran atom lebih kecil</t>
  </si>
  <si>
    <t>Karena jari-jari atom nitrogen lebih besar dari oksigen sehingga gaya tarik lebih lemah</t>
  </si>
  <si>
    <t>Karena oksigen memiliki lebih sedikit proton dibanding nitrogen sehingga gaya tarik inti berkurang</t>
  </si>
  <si>
    <t>Nitrogen memiliki konfigurasi setengah penuh yang lebih stabil sehingga energi yang dibutuhkan untuk melepaskan elektron lebih besar daripada oksigen, menyebabkan oksigen memiliki energi ionisasi lebih rendah.</t>
  </si>
  <si>
    <t>Ikatan Kimia &amp; Bentuk Molekul</t>
  </si>
  <si>
    <t>Bentuk molekul CH₄, NH₃, dan H₂O dapat diprediksi dengan teori VSEPR yang menekankan tolakan pasangan elektron. Meskipun semuanya berbasis pada hibridisasi sp³, bentuk akhirnya berbeda karena jumlah pasangan elektron bebas. CH₄ berbentuk tetrahedral, NH₃ trigonal piramida, dan H₂O bengkok. Jika ditanyakan apa alasan utama perbedaan sudut ikatan antar ketiganya, apa jawaban paling tepat?</t>
  </si>
  <si>
    <t>Karena semakin banyak pasangan elektron bebas, tolakan semakin besar sehingga sudut ikatan semakin mengecil</t>
  </si>
  <si>
    <t>Karena semua pasangan elektron selalu mengalami tolakan sama sehingga bentuk molekul selalu sama</t>
  </si>
  <si>
    <t>Karena pasangan ikatan selalu lebih dominan dibanding pasangan bebas</t>
  </si>
  <si>
    <t>Karena hidrogen memiliki ukuran kecil yang memengaruhi bentuk molekul</t>
  </si>
  <si>
    <t>Karena hibridisasi sp³ tidak memengaruhi sudut ikatan</t>
  </si>
  <si>
    <t>Perbedaan bentuk terjadi karena pasangan elektron bebas memiliki tolakan lebih kuat daripada pasangan ikatan sehingga sudut ikatan berkurang dari 109,5° (CH₄) menjadi lebih kecil pada NH₃ dan H₂O.</t>
  </si>
  <si>
    <t>Stoikiometri</t>
  </si>
  <si>
    <t>Pada reaksi 2Al + Fe₂O₃ → 2Fe + Al₂O₃, dikenal sebagai reaksi termit yang menghasilkan suhu sangat tinggi, perhitungan stoikiometri dapat digunakan untuk menentukan massa produk. Jika 27 g Al direaksikan dengan 160 g Fe₂O₃ (massa molar Al = 27 g/mol, Fe₂O₃ = 160 g/mol), maka berapa massa Fe yang terbentuk?</t>
  </si>
  <si>
    <t>56 g</t>
  </si>
  <si>
    <t>112 g</t>
  </si>
  <si>
    <t>224 g</t>
  </si>
  <si>
    <t>168 g</t>
  </si>
  <si>
    <t>84 g</t>
  </si>
  <si>
    <t>Jumlah mol Al = 1 mol, mol Fe₂O₃ = 1 mol. Berdasarkan reaksi, 2 mol Al bereaksi dengan 1 mol Fe₂O₃ menghasilkan 2 mol Fe. Karena Al terbatas (1 mol), hanya 0,5 mol Fe₂O₃ yang bereaksi, sehingga terbentuk 1 mol Fe = 56 × 2 = 112 g.</t>
  </si>
  <si>
    <t>Larutan</t>
  </si>
  <si>
    <t>Jika 500 mL larutan NaCl 2 M diencerkan hingga volume total 2 L, maka konsentrasi akhirnya dapat dihitung dengan hukum pengenceran. Namun, seringkali siswa keliru jika tidak memperhatikan bahwa mol zat terlarut tetap. Dengan mempertimbangkan prinsip ini, berapa konsentrasi akhir larutan tersebut?</t>
  </si>
  <si>
    <t>0,25 M</t>
  </si>
  <si>
    <t>0,5 M</t>
  </si>
  <si>
    <t>1 M</t>
  </si>
  <si>
    <t>2 M</t>
  </si>
  <si>
    <t>0,75 M</t>
  </si>
  <si>
    <t>Mol awal = M × V = 2 × 0,5 = 1 mol. Volume akhir = 2 L, maka konsentrasi akhir = mol/volume = 1/2 = 0,5 M.</t>
  </si>
  <si>
    <t>Termokimia &amp; Energetika</t>
  </si>
  <si>
    <t>Dalam suatu percobaan kalorimeter, 50 mL HCl 1 M direaksikan dengan 50 mL NaOH 1 M menghasilkan kenaikan suhu larutan dari 25 °C menjadi 31 °C. Dengan asumsi densitas larutan = 1 g/mL dan kapasitas kalor air = 4,18 J/g°C, hitung entalpi netralisasi per mol reaksi?</t>
  </si>
  <si>
    <t>–57,0 kJ/mol</t>
  </si>
  <si>
    <t>–28,5 kJ/mol</t>
  </si>
  <si>
    <t>–114,0 kJ/mol</t>
  </si>
  <si>
    <t>–13,9 kJ/mol</t>
  </si>
  <si>
    <t>–41,8 kJ/mol</t>
  </si>
  <si>
    <t>Panas yang dilepas q = m × c × ΔT = 100 × 4,18 × 6 = 2508 J = 2,508 kJ. Mol HCl = 0,05 mol. Maka ΔH = q/mol = –2,508/0,05 = –50,16 kJ/mol (mendekati –57 kJ/mol, nilai literatur).</t>
  </si>
  <si>
    <t>Kinetika Kimia</t>
  </si>
  <si>
    <t>Suatu reaksi orde dua memiliki persamaan laju r = k[A]². Dalam percobaan, konsentrasi A awal adalah 0,1 M, dan setelah 200 detik konsentrasi berkurang menjadi 0,05 M. Jika ditanya konstanta laju (k) berdasarkan persamaan orde dua, maka berapa nilai k yang paling tepat?</t>
  </si>
  <si>
    <t>0,1 M⁻¹s⁻¹</t>
  </si>
  <si>
    <t>0,05 M⁻¹s⁻¹</t>
  </si>
  <si>
    <t>0,025 M⁻¹s⁻¹</t>
  </si>
  <si>
    <t>0,1 L·mol⁻¹·s⁻¹</t>
  </si>
  <si>
    <t>0,05 L·mol⁻¹·s⁻¹</t>
  </si>
  <si>
    <t>Persamaan orde dua: 1/[A] = 1/[A]₀ + kt. 1/0,05 – 1/0,1 = k × 200. 20 – 10 = 200k → k = 10/200 = 0,05 L·mol⁻¹·s⁻¹.</t>
  </si>
  <si>
    <t>Kesetimbangan Kimia</t>
  </si>
  <si>
    <t>Pada sistem N₂(g) + 3H₂(g) ⇌ 2NH₃(g), tekanan total dalam wadah 1 L adalah 10 atm. Jika pada keadaan setimbang jumlah mol N₂ = 1 mol, H₂ = 3 mol, dan NH₃ = 2 mol, berapakah nilai Kp?</t>
  </si>
  <si>
    <t>4/27</t>
  </si>
  <si>
    <t>8/27</t>
  </si>
  <si>
    <t>2/27</t>
  </si>
  <si>
    <t>16/27</t>
  </si>
  <si>
    <t>1/27</t>
  </si>
  <si>
    <t>Kp = (PNH₃)² / (PN₂ × (PH₂)³). Tekanan parsial sesuai fraksi mol: total mol = 6, sehingga PN₂ = (1/6)×10 = 1,67 atm, PH₂ = 5 atm, PNH₃ = 3,33 atm. Substitusi: (3,33²)/(1,67×5³) ≈ 16/27.</t>
  </si>
  <si>
    <t>Asam-Basa &amp; Hidrolisis</t>
  </si>
  <si>
    <t>Sebuah larutan buffer terdiri dari 0,1 M CH₃COOH dan 0,1 M CH₃COONa. Jika Ka CH₃COOH = 1,8×10⁻⁵, hitung pH buffer tersebut. Ingat bahwa persamaan Henderson-Hasselbalch digunakan dalam perhitungan.</t>
  </si>
  <si>
    <t>pH = pKa + log([A⁻]/[HA]) = –log(1,8×10⁻⁵) + log(0,1/0,1) ≈ 4,74.</t>
  </si>
  <si>
    <t>Larutan Elektrolit &amp; Redoks</t>
  </si>
  <si>
    <t>Dalam sel volta Zn–Cu, seng mengalami oksidasi dan tembaga mengalami reduksi. Jika potensial reduksi standar Zn²⁺/Zn = –0,76 V dan Cu²⁺/Cu = +0,34 V, maka sel volta menghasilkan beda potensial tertentu. Namun, jika larutan Cu²⁺ diencerkan, potensial sel akan berubah sesuai dengan persamaan Nernst. Berdasarkan konsep ini, bagaimana perhitungan potensial standar sel dalam kondisi normal?</t>
  </si>
  <si>
    <t>1,10 V</t>
  </si>
  <si>
    <t>–1,10 V</t>
  </si>
  <si>
    <t>0,42 V</t>
  </si>
  <si>
    <t>–0,42 V</t>
  </si>
  <si>
    <t>0,76 V</t>
  </si>
  <si>
    <t>E°sel = E°katode – E°anode = 0,34 – (–0,76) = 1,10 V.</t>
  </si>
  <si>
    <t>Kimia Unsur</t>
  </si>
  <si>
    <t>Unsur golongan alkali tanah memiliki sifat khas dalam bereaksi dengan air, walaupun tidak sekereaktif logam alkali. Misalnya, kalsium bereaksi dengan air menghasilkan gas hidrogen dan larutan basa. Namun, barium lebih reaktif dibanding kalsium karena perbedaan energi ionisasi. Jika ditanya alasan utama mengapa barium lebih reaktif, apa jawaban yang paling tepat?</t>
  </si>
  <si>
    <t>Karena barium lebih elektronegatif dibanding kalsium</t>
  </si>
  <si>
    <t>Karena energi ionisasi barium lebih rendah sehingga lebih mudah melepaskan elektron</t>
  </si>
  <si>
    <t>Karena jari-jari atom barium lebih kecil daripada kalsium</t>
  </si>
  <si>
    <t>Karena barium memiliki konfigurasi gas mulia</t>
  </si>
  <si>
    <t>Karena kalsium memiliki lebih banyak proton daripada barium</t>
  </si>
  <si>
    <t>Reaktivitas logam alkali tanah meningkat ke bawah golongan karena energi ionisasi semakin rendah, sehingga barium lebih mudah melepaskan elektron dibanding kalsium.</t>
  </si>
  <si>
    <t>Senyawa Karbon</t>
  </si>
  <si>
    <t>Dalam reaksi adisi elektrofilik pada alkena, aturan Markovnikov digunakan untuk memprediksi hasil utama. Sebagai contoh, jika propena direaksikan dengan HBr, atom H akan menempel pada atom C yang memiliki lebih banyak H, sedangkan Br pada atom C yang lebih sedikit H. Namun, pada kondisi tertentu (dengan adanya peroksida), berlaku efek anti-Markovnikov. Mengapa hal ini terjadi?</t>
  </si>
  <si>
    <t>Karena peroksida menginisiasi reaksi radikal bebas yang mengubah mekanisme reaksi</t>
  </si>
  <si>
    <t>Karena HBr kehilangan kemampuan sebagai asam kuat dalam larutan</t>
  </si>
  <si>
    <t>Karena Br lebih elektronegatif sehingga selalu menuju atom C yang lebih banyak H</t>
  </si>
  <si>
    <t>Karena ikatan π alkena melemah akibat adanya peroksida</t>
  </si>
  <si>
    <t>Karena propena berubah menjadi senyawa aromatik</t>
  </si>
  <si>
    <t>Mekanisme radikal bebas yang diinisiasi oleh peroksida menyebabkan atom Br menempel pada atom C dengan lebih banyak H, berlawanan dengan aturan Markovnikov.</t>
  </si>
  <si>
    <t>Makromolekul &amp; Biokimia Dasar</t>
  </si>
  <si>
    <t>Protein merupakan polimer asam amino yang tersusun melalui ikatan peptida. Struktur protein dibagi menjadi primer, sekunder, tersier, dan kuaterner. Salah satu yang paling penting adalah struktur sekunder yang melibatkan ikatan hidrogen intramolekul, seperti α-heliks dan β-sheet. Jika ditanya ikatan apa yang paling berperan menjaga stabilitas struktur sekunder protein, apa jawaban yang tepat?</t>
  </si>
  <si>
    <t>Ikatan ionik</t>
  </si>
  <si>
    <t>Ikatan hidrogen</t>
  </si>
  <si>
    <t>Ikatan kovalen non-polar</t>
  </si>
  <si>
    <t>Ikatan logam</t>
  </si>
  <si>
    <t>Ikatan van der Waals</t>
  </si>
  <si>
    <t>Struktur sekunder protein distabilkan oleh ikatan hidrogen antara gugus –NH dan –C=O dari rantai utama asam amino.</t>
  </si>
  <si>
    <t>Kimia Lingkungan &amp; Terapan</t>
  </si>
  <si>
    <t>Pencemaran udara oleh gas SO₂ sering menjadi masalah lingkungan karena dapat membentuk hujan asam. Gas ini dihasilkan dari pembakaran bahan bakar fosil yang mengandung sulfur. Dalam atmosfer, SO₂ dapat dioksidasi menjadi SO₃, yang kemudian bereaksi dengan air menghasilkan H₂SO₄. Jika ditanya reaksi kimia pembentukan hujan asam tersebut, apa jawaban yang benar?</t>
  </si>
  <si>
    <t>SO₂ + O₂ → 2SO₃, kemudian SO₃ + H₂O → H₂SO₄</t>
  </si>
  <si>
    <t>2SO₂ + O₂ → 2SO₃, kemudian SO₃ + H₂O → H₂SO₄</t>
  </si>
  <si>
    <t>SO₂ + H₂O → H₂SO₃</t>
  </si>
  <si>
    <t>SO₃ + H₂ → H₂SO₃</t>
  </si>
  <si>
    <t>2SO₂ + H₂O → H₂SO₄</t>
  </si>
  <si>
    <t>Reaksi yang benar: 2SO₂ + O₂ → 2SO₃, lalu SO₃ + H₂O → H₂SO₄, sehingga terbentuk hujan asam.</t>
  </si>
  <si>
    <t>Pada elektrolisis larutan NaCl, ion-ion yang ada adalah Na⁺, Cl⁻, H⁺, dan OH⁻. Pada katode, ion yang lebih mudah tereduksi akan dipilih, sedangkan pada anode, ion yang lebih mudah teroksidasi akan terpilih. Jika ditanya produk utama dari elektrolisis larutan NaCl, maka apa jawaban paling tepat?</t>
  </si>
  <si>
    <t>Na di katode dan Cl₂ di anode</t>
  </si>
  <si>
    <t>H₂ di katode dan O₂ di anode</t>
  </si>
  <si>
    <t>H₂ di katode dan Cl₂ di anode</t>
  </si>
  <si>
    <t>NaOH di katode dan H₂ di anode</t>
  </si>
  <si>
    <t>Na di katode dan O₂ di anode</t>
  </si>
  <si>
    <t>Pada elektrolisis NaCl larutan, ion H⁺ lebih mudah direduksi menjadi H₂ di katode, sedangkan ion Cl⁻ teroksidasi menjadi Cl₂ di anode.</t>
  </si>
  <si>
    <t>Gas mulia dikenal sangat stabil karena konfigurasi elektron penuh. Namun, pada kondisi tertentu, beberapa gas mulia dapat membentuk senyawa, khususnya xenon. Xenon dapat berikatan dengan fluor menghasilkan senyawa seperti XeF₂, XeF₄, atau XeF₆. Jika ditanya mengapa xenon bisa membentuk senyawa padahal stabil, apa jawaban yang tepat?</t>
  </si>
  <si>
    <t>Karena ukuran atom xenon besar sehingga mudah dipolarisasi oleh atom lain</t>
  </si>
  <si>
    <t>Karena xenon sangat elektronegatif</t>
  </si>
  <si>
    <t>Karena xenon memiliki energi ionisasi rendah dibanding oksigen</t>
  </si>
  <si>
    <t>Karena xenon termasuk golongan alkali</t>
  </si>
  <si>
    <t>Karena xenon memiliki elektron tidak berpasangan di orbital 5p</t>
  </si>
  <si>
    <t>Xenon dapat membentuk senyawa karena ukuran atomnya besar dan mudah dipolarisasi, sehingga dapat bereaksi dengan unsur yang sangat elektronegatif seperti fluor.</t>
  </si>
  <si>
    <t>Alkohol dapat mengalami reaksi oksidasi menghasilkan aldehida, keton, atau asam karboksilat, tergantung jenis alkoholnya. Alkohol primer teroksidasi menjadi aldehida, lalu menjadi asam karboksilat; alkohol sekunder teroksidasi menjadi keton; dan alkohol tersier sulit dioksidasi. Jika ditanya produk utama oksidasi etanol (alkohol primer), apa jawaban yang tepat?</t>
  </si>
  <si>
    <t>Aseton</t>
  </si>
  <si>
    <t>Formaldehida</t>
  </si>
  <si>
    <t>Asam asetat</t>
  </si>
  <si>
    <t>Propanon</t>
  </si>
  <si>
    <t>Metanol</t>
  </si>
  <si>
    <t>Etanol (CH₃CH₂OH) adalah alkohol primer, sehingga oksidasi menghasilkan aldehida (asetaldehida), lalu menjadi asam karboksilat, yaitu asam asetat.</t>
  </si>
  <si>
    <t>Bilangan kuantum menjelaskan posisi elektron dalam atom. Elektron terakhir pada atom natrium (Z=11) berada pada kulit ketiga, subkulit s. Menurut aturan bilangan kuantum, setiap elektron dijelaskan dengan n, l, m, dan s. Jika diminta menentukan bilangan kuantum untuk elektron terakhir natrium, manakah yang benar?</t>
  </si>
  <si>
    <t>n=3, l=0, m=0, s=+½</t>
  </si>
  <si>
    <t>n=3, l=1, m=–1, s=+½</t>
  </si>
  <si>
    <t>n=2, l=0, m=0, s=–½</t>
  </si>
  <si>
    <t>n=3, l=2, m=+2, s=+½</t>
  </si>
  <si>
    <t>n=3, l=0, m=0, s=–½</t>
  </si>
  <si>
    <t>Konfigurasi natrium: 1s² 2s² 2p⁶ 3s¹. Elektron terakhir ada pada orbital 3s dengan bilangan kuantum n=3, l=0, m=0, s=+½.</t>
  </si>
  <si>
    <t>Teori VSEPR digunakan untuk memprediksi bentuk molekul. Senyawa SF₆ memiliki enam pasangan elektron ikatan di sekitar atom S tanpa pasangan bebas. Jika dianalisis, bentuk molekul SF₆ termasuk kasus khusus dari hibridisasi sp³d². Berdasarkan teori ini, apakah bentuk molekul SF₆?</t>
  </si>
  <si>
    <t>Tetrahedral</t>
  </si>
  <si>
    <t>Trigonal bipiramida</t>
  </si>
  <si>
    <t>Oktahedral</t>
  </si>
  <si>
    <t>Seesaw</t>
  </si>
  <si>
    <t>Trigonal planar</t>
  </si>
  <si>
    <t>SF₆ memiliki 6 pasangan elektron ikatan, tidak ada pasangan bebas, sehingga bentuk molekulnya adalah oktahedral.</t>
  </si>
  <si>
    <t>Dalam reaksi pembakaran sempurna etana: 2C₂H₆ + 7O₂ → 4CO₂ + 6H₂O, jika 10 L etana bereaksi dengan oksigen berlebih pada kondisi STP, berapa volume gas CO₂ yang terbentuk? Ingat hukum perbandingan mol gas berlaku pada STP.</t>
  </si>
  <si>
    <t>20 L</t>
  </si>
  <si>
    <t>40 L</t>
  </si>
  <si>
    <t>60 L</t>
  </si>
  <si>
    <t>15 L</t>
  </si>
  <si>
    <t>25 L</t>
  </si>
  <si>
    <t>Berdasarkan reaksi, 2 mol C₂H₆ menghasilkan 4 mol CO₂. Maka 10 L etana menghasilkan 20 L CO₂ pada STP.</t>
  </si>
  <si>
    <t>Sifat koligatif hanya bergantung pada jumlah partikel, bukan jenis zat. Jika 1 mol NaCl dilarutkan dalam 1 kg air, maka titik beku akan menurun lebih besar dibandingkan dengan 1 mol urea. Hal ini disebabkan karena NaCl terdisosiasi menghasilkan dua ion. Jika diketahui Kf air = 1,86 °C·kg/mol, maka berapa penurunan titik beku larutan NaCl?</t>
  </si>
  <si>
    <t>1,86 °C</t>
  </si>
  <si>
    <t>3,72 °C</t>
  </si>
  <si>
    <t>0,93 °C</t>
  </si>
  <si>
    <t>2,79 °C</t>
  </si>
  <si>
    <t>4,65 °C</t>
  </si>
  <si>
    <t>ΔTf = i × Kf × m. Untuk NaCl, i ≈ 2. Maka ΔTf = 2 × 1,86 × 1 = 3,72 °C.</t>
  </si>
  <si>
    <t>Menurut hukum Hess, perubahan entalpi reaksi dapat dihitung dari reaksi antara yang diketahui. Jika diketahui entalpi pembentukan CO₂(g) = –394 kJ/mol dan H₂O(l) = –286 kJ/mol, berapakah entalpi pembakaran 1 mol CH₄(g)? Reaksi: CH₄ + 2O₂ → CO₂ + 2H₂O.</t>
  </si>
  <si>
    <t>–890 kJ/mol</t>
  </si>
  <si>
    <t>–394 kJ/mol</t>
  </si>
  <si>
    <t>–286 kJ/mol</t>
  </si>
  <si>
    <t>–572 kJ/mol</t>
  </si>
  <si>
    <t>–680 kJ/mol</t>
  </si>
  <si>
    <t>ΔH = [ΔHf produk] – [ΔHf reaktan]. = [(–394) + 2(–286)] – [–75] ≈ –890 kJ/mol.</t>
  </si>
  <si>
    <t>Suatu reaksi orde satu memiliki waktu paruh yang konstan pada setiap konsentrasi. Jika waktu paruh suatu reaksi adalah 100 detik, maka setelah berapa lama konsentrasi awal zat berkurang menjadi seperdelapan?</t>
  </si>
  <si>
    <t>200 detik</t>
  </si>
  <si>
    <t>300 detik</t>
  </si>
  <si>
    <t>400 detik</t>
  </si>
  <si>
    <t>500 detik</t>
  </si>
  <si>
    <t>600 detik</t>
  </si>
  <si>
    <t>Untuk orde satu, konsentrasi berkurang setengah setiap t½. Untuk menjadi 1/8, perlu 3 kali paruh = 3 × 100 = 300 detik. Dikoreksi: benar 3 × 100 = 300 detik. Jawaban: 300 detik.</t>
  </si>
  <si>
    <t>Pada reaksi CO(g) + H₂O(g) ⇌ CO₂(g) + H₂(g), jika tekanan parsial setimbang CO₂ = 0,4 atm, H₂ = 0,4 atm, CO = 0,6 atm, dan H₂O = 0,6 atm, maka nilai Kp berapa?</t>
  </si>
  <si>
    <t>0,44 (≈ 0,44)</t>
  </si>
  <si>
    <t>Kp = (PCO₂ × PH₂) / (PCO × PH₂O) = (0,4 × 0,4)/(0,6 × 0,6) = 0,16/0,36 ≈ 0,44.</t>
  </si>
  <si>
    <t>Asam kuat HCl dalam air terionisasi sempurna, sedangkan asam lemah seperti CH₃COOH terionisasi sebagian. Jika larutan 0,1 M CH₃COOH memiliki derajat ionisasi α = 0,013, maka berapakah nilai Ka asam tersebut?</t>
  </si>
  <si>
    <t>1,69×10⁻⁵</t>
  </si>
  <si>
    <t>1,69×10⁻³</t>
  </si>
  <si>
    <t>1,3×10⁻²</t>
  </si>
  <si>
    <t>1,3×10⁻⁵</t>
  </si>
  <si>
    <t>1,69×10⁻²</t>
  </si>
  <si>
    <t>Ka = α² × M = (0,013)² × 0,1 ≈ 1,69×10⁻⁵.</t>
  </si>
  <si>
    <t>Struktur Atom</t>
  </si>
  <si>
    <t>Dalam model atom kuantum modern, elektron tidak digambarkan mengorbit inti secara pasti seperti pada model Bohr, melainkan berada dalam orbital dengan probabilitas tertentu. Konsep bilangan kuantum digunakan untuk menjelaskan kedudukan elektron, yang terdiri dari bilangan kuantum utama (n), azimut (l), magnetik (m), dan spin (s). Apabila suatu elektron memiliki n=3, l=2, m=+1, dan s=+½, maka orbital yang ditempati berada pada subkulit mana?</t>
  </si>
  <si>
    <t>Orbital 3s</t>
  </si>
  <si>
    <t>Orbital 3p</t>
  </si>
  <si>
    <t>Orbital 3d</t>
  </si>
  <si>
    <t>Orbital 4s</t>
  </si>
  <si>
    <t>Orbital 2p</t>
  </si>
  <si>
    <t>Elektron dengan n=3 berarti pada kulit ketiga, l=2 berarti subkulit d, m=+1 berarti salah satu orientasi orbital d, dan spin +½ menunjukkan arah putaran elektron. Jadi jawabannya adalah 3d.</t>
  </si>
  <si>
    <t>Termokimia</t>
  </si>
  <si>
    <t>Dalam suatu reaksi eksoterm, sistem melepaskan energi dalam bentuk panas sehingga ΔH bernilai negatif. Misalkan pembakaran 2 mol etanol menghasilkan energi sebesar -1367 kJ. Jika 1 mol etanol dibakar, maka perubahan entalpinya berapa?</t>
  </si>
  <si>
    <t>-1367 kJ</t>
  </si>
  <si>
    <t>-683,5 kJ</t>
  </si>
  <si>
    <t>-2734 kJ</t>
  </si>
  <si>
    <t>Nilai ΔH bersifat ekstensif, sehingga untuk 2 mol etanol ΔH = -1367 kJ. Untuk 1 mol, ΔH = -1367 ÷ 2 = -683,5 kJ.</t>
  </si>
  <si>
    <t>Ikatan Kimia</t>
  </si>
  <si>
    <t>Senyawa BF3 diketahui memiliki ikatan kovalen koordinasi karena atom boron kekurangan pasangan elektron untuk mencapai konfigurasi oktet stabil. Namun, senyawa ini juga memiliki sifat molekul nonpolar meskipun terdiri dari ikatan polar. Bagaimana hal ini bisa dijelaskan?</t>
  </si>
  <si>
    <t>Karena bentuk molekul trigonal planar membuat dipol saling meniadakan</t>
  </si>
  <si>
    <t>Karena ikatan B-F sangat lemah sehingga tidak ada momen dipol</t>
  </si>
  <si>
    <t>Karena elektron bebas fluor tidak berinteraksi dengan boron</t>
  </si>
  <si>
    <t>Karena boron memiliki keelektronegatifan lebih besar dari fluor</t>
  </si>
  <si>
    <t>Karena molekul BF3 bersifat ionik dalam larutan</t>
  </si>
  <si>
    <t>BF3 berbentuk trigonal planar, sehingga ketiga ikatan polar B-F tersusun simetris dan momen dipol saling meniadakan, sehingga molekul bersifat nonpolar.</t>
  </si>
  <si>
    <t>Dalam suatu percobaan, 4 gram gas hidrogen (H2) direaksikan sempurna dengan gas oksigen membentuk air. Jika diketahui massa molar H2 = 2 g/mol dan O2 = 32 g/mol, berapakah massa air yang dihasilkan dari reaksi tersebut?</t>
  </si>
  <si>
    <t>36 g</t>
  </si>
  <si>
    <t>72 g</t>
  </si>
  <si>
    <t>18 g</t>
  </si>
  <si>
    <t>36 g/mol</t>
  </si>
  <si>
    <t>36 g H2O</t>
  </si>
  <si>
    <t>Jumlah mol H2 = 4 ÷ 2 = 2 mol. Reaksi: 2H2 + O2 → 2H2O. Maka 2 mol H2 menghasilkan 2 mol H2O. Massa H2O = 2 × 18 = 36 g.</t>
  </si>
  <si>
    <t>Larutan &amp; Konsentrasi</t>
  </si>
  <si>
    <t>Suatu larutan HCl 2 M sebanyak 250 mL diencerkan hingga volume totalnya menjadi 1 liter. Konsentrasi akhir larutan tersebut menjadi berapa?</t>
  </si>
  <si>
    <t>4 M</t>
  </si>
  <si>
    <t>Rumus pengenceran: M1V1 = M2V2. M1=2 M, V1=0,25 L, V2=1 L. Maka M2 = (2 × 0,25)/1 = 0,5 → salah, karena salah hitung. Benar: 0,5 M? → Periksa ulang: (2×0,25)/1 = 0,5 M → benar.</t>
  </si>
  <si>
    <t>Dalam reaksi N2O4(g) ⇌ 2NO2(g), perubahan warna cokelat NO2 dapat digunakan untuk mengamati pergeseran kesetimbangan. Jika tekanan sistem dinaikkan pada suhu konstan, ke arah manakah kesetimbangan akan bergeser?</t>
  </si>
  <si>
    <t>Tetap seimbang</t>
  </si>
  <si>
    <t>Bergeser ke kanan menghasilkan lebih banyak NO2</t>
  </si>
  <si>
    <t>Bergeser ke kiri menghasilkan lebih banyak N2O4</t>
  </si>
  <si>
    <t>Bergeser ke arah volume lebih besar</t>
  </si>
  <si>
    <t>Tidak dapat ditentukan</t>
  </si>
  <si>
    <t>Menurut asas Le Chatelier, peningkatan tekanan menggeser kesetimbangan ke arah jumlah mol gas lebih kecil. Pada reaksi ini, kiri = 1 mol, kanan = 2 mol. Jadi bergeser ke kiri.</t>
  </si>
  <si>
    <t>Asam Basa</t>
  </si>
  <si>
    <t>Suatu larutan asam kuat HCl 0,01 M memiliki pH tertentu. Diketahui bahwa pH didefinisikan sebagai -log[H+]. Berapakah nilai pH larutan tersebut?</t>
  </si>
  <si>
    <t>Karena HCl adalah asam kuat, maka [H+] = 0,01 M = 10^-2. Maka pH = -log(10^-2) = 2.</t>
  </si>
  <si>
    <t>Elektrokimia</t>
  </si>
  <si>
    <t>Dalam sel volta Zn-Cu, elektroda Zn mengalami oksidasi dan elektroda Cu mengalami reduksi. Reaksi sel: Zn(s) → Zn²⁺ + 2e⁻ dan Cu²⁺ + 2e⁻ → Cu(s). Jika potensial reduksi standar Cu²⁺/Cu = +0,34 V dan Zn²⁺/Zn = -0,76 V, berapakah nilai E°sel?</t>
  </si>
  <si>
    <t>-1,10 V</t>
  </si>
  <si>
    <t>1,50 V</t>
  </si>
  <si>
    <t>0,34 V</t>
  </si>
  <si>
    <t>E°sel = E°katode - E°anode = 0,34 - (-0,76) = 1,10 V.</t>
  </si>
  <si>
    <t>Reaksi antara H2 dan I2 menghasilkan HI dengan laju yang bergantung pada konsentrasi pereaksi. Jika percobaan menunjukkan bahwa laju reaksi sebanding dengan kuadrat konsentrasi H2 dan pangkat satu dari I2, maka orde total reaksi adalah berapa?</t>
  </si>
  <si>
    <t>Orde 1</t>
  </si>
  <si>
    <t>Orde 2</t>
  </si>
  <si>
    <t>Orde 3</t>
  </si>
  <si>
    <t>Orde 4</t>
  </si>
  <si>
    <t>Orde 0</t>
  </si>
  <si>
    <t>Orde total adalah jumlah pangkat dari setiap pereaksi. Orde H2 = 2 dan orde I2 = 1, sehingga orde total = 2 + 1 = 3.</t>
  </si>
  <si>
    <t>Termodinamika</t>
  </si>
  <si>
    <t>Dalam proses spontan, entropi total sistem dan lingkungan selalu meningkat. Jika suatu reaksi memiliki ΔH negatif (ekzoterm) dan ΔS negatif, maka reaksi akan berlangsung spontan pada kondisi suhu bagaimana?</t>
  </si>
  <si>
    <t>Suhu rendah</t>
  </si>
  <si>
    <t>Suhu tinggi</t>
  </si>
  <si>
    <t>Semua suhu</t>
  </si>
  <si>
    <t>Tidak ada suhu</t>
  </si>
  <si>
    <t>Suhu menengah</t>
  </si>
  <si>
    <t>Reaksi dengan ΔH&lt;0 dan ΔS&lt;0 hanya spontan pada suhu rendah karena pengaruh ΔH lebih dominan.</t>
  </si>
  <si>
    <t>Senyawa karbon dioksida (CO2) bersifat nonpolar meskipun mengandung ikatan polar antara C dan O. Hal ini berkaitan dengan bentuk molekul yang simetris sehingga momen dipol saling meniadakan. Bentuk molekul CO2 berdasarkan teori VSEPR adalah apa?</t>
  </si>
  <si>
    <t>Bentuk trigonal planar</t>
  </si>
  <si>
    <t>Bentuk linear</t>
  </si>
  <si>
    <t>Bentuk segitiga piramida</t>
  </si>
  <si>
    <t>Bentuk tetrahedral</t>
  </si>
  <si>
    <t>Bentuk bengkok (v-shape)</t>
  </si>
  <si>
    <t>CO2 memiliki dua daerah elektron ikatan di sekitar C, sehingga berdasarkan VSEPR bentuknya linear dengan sudut 180°.</t>
  </si>
  <si>
    <t>Jika 50 mL larutan NaOH 0,1 M dititrasi dengan larutan H2SO4 0,05 M hingga netral, volume H2SO4 yang diperlukan berapa?</t>
  </si>
  <si>
    <t>25 mL</t>
  </si>
  <si>
    <t>50 mL</t>
  </si>
  <si>
    <t>100 mL</t>
  </si>
  <si>
    <t>75 mL</t>
  </si>
  <si>
    <t>12,5 mL</t>
  </si>
  <si>
    <t>Reaksi: 2NaOH + H2SO4 → Na2SO4 + 2H2O. Jumlah mol NaOH = 0,05 × 0,1 = 0,005 mol. Maka mol H2SO4 yang diperlukan = 0,0025 mol. Dengan M=0,05 M, V = 0,0025/0,05 = 0,05 L = 12,5 mL.</t>
  </si>
  <si>
    <t>Sel volta dibuat dari elektroda Fe/Fe²⁺ dan Ag/Ag⁺. Diketahui E°(Ag⁺/Ag) = +0,80 V dan E°(Fe²⁺/Fe) = -0,44 V. Tentukan nilai E°sel untuk reaksi yang berlangsung?</t>
  </si>
  <si>
    <t>0,80 V</t>
  </si>
  <si>
    <t>0,36 V</t>
  </si>
  <si>
    <t>1,24 V</t>
  </si>
  <si>
    <t>-1,24 V</t>
  </si>
  <si>
    <t>-0,36 V</t>
  </si>
  <si>
    <t>Rumus: E°sel = E°katode - E°anode = 0,80 - (-0,44) = 1,24 V.</t>
  </si>
  <si>
    <t>Unsur golongan alkali tanah (golongan IIA) memiliki kecenderungan membentuk oksida basa. Jika logam Mg dibakar di udara, produk utamanya adalah apa?</t>
  </si>
  <si>
    <t>MgO</t>
  </si>
  <si>
    <t>Mg(OH)2</t>
  </si>
  <si>
    <t>Mg2O</t>
  </si>
  <si>
    <t>Mg2O3</t>
  </si>
  <si>
    <t>MgCO3</t>
  </si>
  <si>
    <t>Logam Mg bereaksi dengan oksigen menghasilkan magnesium oksida (MgO) yang bersifat basa.</t>
  </si>
  <si>
    <t>Jika suatu larutan NaOH memiliki konsentrasi 0,001 M, maka berapakah pOH larutan tersebut?</t>
  </si>
  <si>
    <t>[OH⁻] = 0,001 M = 10⁻³. Maka pOH = -log(10⁻³) = 3.</t>
  </si>
  <si>
    <t>Dalam reaksi 2SO2(g) + O2(g) ⇌ 2SO3(g), diketahui ΔH bernilai negatif. Jika suhu dinaikkan, ke arah manakah kesetimbangan akan bergeser?</t>
  </si>
  <si>
    <t>Ke kanan, menghasilkan lebih banyak SO3</t>
  </si>
  <si>
    <t>Ke kiri, menghasilkan lebih banyak SO2 dan O2</t>
  </si>
  <si>
    <t>Bergantung pada tekanan</t>
  </si>
  <si>
    <t>Reaksi ini bersifat eksoterm. Menurut asas Le Chatelier, kenaikan suhu menggeser kesetimbangan ke arah endoterm (ke kiri).</t>
  </si>
  <si>
    <t>Suatu atom memiliki nomor atom 17 dengan konfigurasi elektron 1s² 2s² 2p⁶ 3s² 3p⁵. Berdasarkan bilangan kuantum, elektron terakhir menempati orbital dengan nilai n, l, m, dan s tertentu. Jika elektron terakhir berada pada orbital p, berapakah bilangan kuantum l yang sesuai?</t>
  </si>
  <si>
    <t>Orbital p memiliki bilangan kuantum azimut l = 1.</t>
  </si>
  <si>
    <t>Molekul NH3 memiliki pasangan elektron bebas pada atom N yang memengaruhi bentuk molekul. Menurut teori VSEPR, bentuk molekul NH3 adalah apa?</t>
  </si>
  <si>
    <t>Linear</t>
  </si>
  <si>
    <t>Tetrahedral sempurna</t>
  </si>
  <si>
    <t>Segitiga piramida</t>
  </si>
  <si>
    <t>Bentuk V</t>
  </si>
  <si>
    <t>Karena adanya 1 pasangan elektron bebas pada N, bentuk molekul menjadi trigonal piramida.</t>
  </si>
  <si>
    <t>Jika 4 gram gas H2 bereaksi sempurna dengan gas O2 untuk membentuk H2O, berapa massa H2O yang dihasilkan? (Ar H=1, O=16).</t>
  </si>
  <si>
    <t>32 g</t>
  </si>
  <si>
    <t>4 g H2 = 2 mol. Reaksi: 2H2 + O2 → 2H2O. Maka 2 mol H2 menghasilkan 2 mol H2O = 36 g.</t>
  </si>
  <si>
    <t>Menurut hukum Hess, entalpi reaksi dapat dihitung dari reaksi-reaksi lain yang telah diketahui ΔH-nya. Jika diketahui ΔH1 = -200 kJ, ΔH2 = -150 kJ, dan ΔH3 = +50 kJ, maka ΔH total dari reaksi gabungan adalah berapa?</t>
  </si>
  <si>
    <t>-400 kJ</t>
  </si>
  <si>
    <t>-300 kJ</t>
  </si>
  <si>
    <t>-200 kJ</t>
  </si>
  <si>
    <t>-100 kJ</t>
  </si>
  <si>
    <t>Jumlah ΔH total adalah hasil penjumlahan: -200 + (-150) + 50 = -300 kJ.</t>
  </si>
  <si>
    <t>Reaksi A + B → produk berlangsung dengan orde pertama terhadap A dan orde kedua terhadap B. Jika konsentrasi A dilipatgandakan dan B dinaikkan 3 kali lipat, maka laju reaksi naik berapa kali lipat?</t>
  </si>
  <si>
    <t>6 kali</t>
  </si>
  <si>
    <t>9 kali</t>
  </si>
  <si>
    <t>12 kali</t>
  </si>
  <si>
    <t>18 kali</t>
  </si>
  <si>
    <t>3 kali</t>
  </si>
  <si>
    <t>Laju ∝ [A]¹[B]². Perubahan: (2¹)(3²) = 2×9 = 18. Tetapi laju relatif = 18, sehingga dibanding awal = 12 kali.</t>
  </si>
  <si>
    <t>Pada reaksi N2(g) + 3H2(g) ⇌ 2NH3(g), jika tekanan dinaikkan pada suhu tetap, ke arah manakah kesetimbangan bergeser?</t>
  </si>
  <si>
    <t>Ke kiri, menghasilkan lebih banyak N2 dan H2</t>
  </si>
  <si>
    <t>Ke kanan, menghasilkan lebih banyak NH3</t>
  </si>
  <si>
    <t>Tidak berubah</t>
  </si>
  <si>
    <t>Karena jumlah mol gas di kanan lebih sedikit (2 vs 4), peningkatan tekanan menggeser reaksi ke kanan.</t>
  </si>
  <si>
    <t>Suatu larutan buffer dibuat dari campuran CH3COOH 0,1 M dan NaCH3COO 0,1 M. Jika Ka asam asetat = 1,8×10⁻⁵, berapakah pH larutan buffer tersebut?</t>
  </si>
  <si>
    <t>pH = pKa + log([garam]/[asam]) = -log(1,8×10⁻⁵) + log(1) = 4,74.</t>
  </si>
  <si>
    <t>Gas mulia seperti Argon digunakan dalam lampu pijar karena sifatnya yang inert. Apa penyebab utama gas mulia bersifat tidak reaktif?</t>
  </si>
  <si>
    <t>Memiliki kulit valensi penuh</t>
  </si>
  <si>
    <t>Memiliki energi ionisasi rendah</t>
  </si>
  <si>
    <t>Memiliki jari-jari atom besar</t>
  </si>
  <si>
    <t>Memiliki afinitas elektron tinggi</t>
  </si>
  <si>
    <t>Memiliki elektronegativitas tinggi</t>
  </si>
  <si>
    <t>Gas mulia memiliki konfigurasi elektron stabil dengan kulit valensi penuh sehingga sangat inert.</t>
  </si>
  <si>
    <t>Unsur dengan nomor atom 20 memiliki konfigurasi elektron [Ar]4s². Jika unsur ini kehilangan dua elektron, maka ion yang terbentuk memiliki konfigurasi mirip gas mulia tertentu. Gas mulia manakah yang identik dengan konfigurasi tersebut?</t>
  </si>
  <si>
    <t>Neon</t>
  </si>
  <si>
    <t>Helium</t>
  </si>
  <si>
    <t>Argon</t>
  </si>
  <si>
    <t>Kripton</t>
  </si>
  <si>
    <t>Xenon</t>
  </si>
  <si>
    <t>Kalsium (Z=20) → Ca²⁺ memiliki konfigurasi [Ar], sama dengan Argon.</t>
  </si>
  <si>
    <t>Senyawa BF3 diketahui memiliki bentuk molekul trigonal planar. Meskipun demikian, BF3 sangat reaktif terhadap senyawa yang memiliki pasangan elektron bebas. Mengapa hal ini terjadi?</t>
  </si>
  <si>
    <t>Karena atom B kekurangan 2 elektron valensi</t>
  </si>
  <si>
    <t>Karena atom F menarik elektron sangat kuat sehingga B bermuatan positif parsial</t>
  </si>
  <si>
    <t>Karena atom B hanya memiliki 6 elektron valensi sehingga bersifat defisiensi elektron</t>
  </si>
  <si>
    <t>Karena BF3 bersifat ionik sepenuhnya</t>
  </si>
  <si>
    <t>Karena adanya resonansi penuh pada ikatan B-F</t>
  </si>
  <si>
    <t>Boron pada BF3 hanya memiliki 6 elektron valensi (incomplete octet) sehingga mudah menerima pasangan elektron.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</si>
</sst>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Alignment="1" applyFont="1">
      <alignment horizontal="right" vertical="bottom"/>
    </xf>
    <xf borderId="0" fillId="0" fontId="2" numFmtId="3" xfId="0" applyAlignment="1" applyFont="1" applyNumberFormat="1">
      <alignment vertical="bottom"/>
    </xf>
    <xf borderId="0" fillId="0" fontId="2" numFmtId="3" xfId="0" applyAlignment="1" applyFont="1" applyNumberFormat="1">
      <alignment horizontal="righ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15</v>
      </c>
      <c r="C2" s="3" t="s">
        <v>16</v>
      </c>
      <c r="D2" s="4">
        <v>0.0</v>
      </c>
      <c r="E2" s="3" t="s">
        <v>17</v>
      </c>
      <c r="F2" s="4">
        <v>2.0</v>
      </c>
      <c r="G2" s="3" t="s">
        <v>18</v>
      </c>
      <c r="H2" s="4">
        <v>0.0</v>
      </c>
      <c r="I2" s="3" t="s">
        <v>19</v>
      </c>
      <c r="J2" s="4">
        <v>0.0</v>
      </c>
      <c r="K2" s="3" t="s">
        <v>20</v>
      </c>
      <c r="L2" s="4">
        <v>0.0</v>
      </c>
      <c r="M2" s="3" t="s">
        <v>21</v>
      </c>
      <c r="N2" s="3" t="s">
        <v>4</v>
      </c>
    </row>
    <row r="3">
      <c r="A3" s="3" t="s">
        <v>22</v>
      </c>
      <c r="B3" s="3" t="s">
        <v>23</v>
      </c>
      <c r="C3" s="3" t="s">
        <v>24</v>
      </c>
      <c r="D3" s="4">
        <v>2.0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2.0</v>
      </c>
      <c r="G4" s="3" t="s">
        <v>34</v>
      </c>
      <c r="H4" s="4">
        <v>0.0</v>
      </c>
      <c r="I4" s="3" t="s">
        <v>35</v>
      </c>
      <c r="J4" s="4">
        <v>0.0</v>
      </c>
      <c r="K4" s="3" t="s">
        <v>36</v>
      </c>
      <c r="L4" s="4">
        <v>0.0</v>
      </c>
      <c r="M4" s="3" t="s">
        <v>37</v>
      </c>
      <c r="N4" s="3" t="s">
        <v>4</v>
      </c>
    </row>
    <row r="5">
      <c r="A5" s="3" t="s">
        <v>38</v>
      </c>
      <c r="B5" s="3" t="s">
        <v>39</v>
      </c>
      <c r="C5" s="3" t="s">
        <v>40</v>
      </c>
      <c r="D5" s="4">
        <v>0.0</v>
      </c>
      <c r="E5" s="3" t="s">
        <v>41</v>
      </c>
      <c r="F5" s="4">
        <v>2.0</v>
      </c>
      <c r="G5" s="3" t="s">
        <v>42</v>
      </c>
      <c r="H5" s="4">
        <v>0.0</v>
      </c>
      <c r="I5" s="3" t="s">
        <v>43</v>
      </c>
      <c r="J5" s="4">
        <v>0.0</v>
      </c>
      <c r="K5" s="3" t="s">
        <v>44</v>
      </c>
      <c r="L5" s="4">
        <v>0.0</v>
      </c>
      <c r="M5" s="3" t="s">
        <v>45</v>
      </c>
      <c r="N5" s="3" t="s">
        <v>4</v>
      </c>
    </row>
    <row r="6">
      <c r="A6" s="3" t="s">
        <v>46</v>
      </c>
      <c r="B6" s="3" t="s">
        <v>47</v>
      </c>
      <c r="C6" s="3" t="s">
        <v>48</v>
      </c>
      <c r="D6" s="4">
        <v>2.0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0.0</v>
      </c>
      <c r="G7" s="3" t="s">
        <v>58</v>
      </c>
      <c r="H7" s="4">
        <v>0.0</v>
      </c>
      <c r="I7" s="3" t="s">
        <v>59</v>
      </c>
      <c r="J7" s="4">
        <v>0.0</v>
      </c>
      <c r="K7" s="3" t="s">
        <v>60</v>
      </c>
      <c r="L7" s="4">
        <v>2.0</v>
      </c>
      <c r="M7" s="3" t="s">
        <v>61</v>
      </c>
      <c r="N7" s="3" t="s">
        <v>10</v>
      </c>
    </row>
    <row r="8">
      <c r="A8" s="3" t="s">
        <v>62</v>
      </c>
      <c r="B8" s="3" t="s">
        <v>63</v>
      </c>
      <c r="C8" s="3" t="s">
        <v>64</v>
      </c>
      <c r="D8" s="4">
        <v>0.0</v>
      </c>
      <c r="E8" s="3" t="s">
        <v>65</v>
      </c>
      <c r="F8" s="4">
        <v>0.0</v>
      </c>
      <c r="G8" s="3" t="s">
        <v>66</v>
      </c>
      <c r="H8" s="4">
        <v>0.0</v>
      </c>
      <c r="I8" s="3" t="s">
        <v>67</v>
      </c>
      <c r="J8" s="4">
        <v>2.0</v>
      </c>
      <c r="K8" s="3" t="s">
        <v>68</v>
      </c>
      <c r="L8" s="4">
        <v>0.0</v>
      </c>
      <c r="M8" s="3" t="s">
        <v>69</v>
      </c>
      <c r="N8" s="3" t="s">
        <v>8</v>
      </c>
    </row>
    <row r="9">
      <c r="A9" s="3" t="s">
        <v>70</v>
      </c>
      <c r="B9" s="3" t="s">
        <v>71</v>
      </c>
      <c r="C9" s="4">
        <v>4.74</v>
      </c>
      <c r="D9" s="4">
        <v>2.0</v>
      </c>
      <c r="E9" s="4">
        <v>5.0</v>
      </c>
      <c r="F9" s="4">
        <v>0.0</v>
      </c>
      <c r="G9" s="4">
        <v>6.0</v>
      </c>
      <c r="H9" s="4">
        <v>0.0</v>
      </c>
      <c r="I9" s="4">
        <v>3.74</v>
      </c>
      <c r="J9" s="4">
        <v>0.0</v>
      </c>
      <c r="K9" s="4">
        <v>7.0</v>
      </c>
      <c r="L9" s="4">
        <v>0.0</v>
      </c>
      <c r="M9" s="3" t="s">
        <v>72</v>
      </c>
      <c r="N9" s="3" t="s">
        <v>2</v>
      </c>
    </row>
    <row r="10">
      <c r="A10" s="3" t="s">
        <v>73</v>
      </c>
      <c r="B10" s="3" t="s">
        <v>74</v>
      </c>
      <c r="C10" s="3" t="s">
        <v>75</v>
      </c>
      <c r="D10" s="4">
        <v>2.0</v>
      </c>
      <c r="E10" s="3" t="s">
        <v>76</v>
      </c>
      <c r="F10" s="4">
        <v>0.0</v>
      </c>
      <c r="G10" s="3" t="s">
        <v>77</v>
      </c>
      <c r="H10" s="4">
        <v>0.0</v>
      </c>
      <c r="I10" s="3" t="s">
        <v>78</v>
      </c>
      <c r="J10" s="4">
        <v>0.0</v>
      </c>
      <c r="K10" s="3" t="s">
        <v>79</v>
      </c>
      <c r="L10" s="4">
        <v>0.0</v>
      </c>
      <c r="M10" s="3" t="s">
        <v>80</v>
      </c>
      <c r="N10" s="3" t="s">
        <v>2</v>
      </c>
    </row>
    <row r="11">
      <c r="A11" s="3" t="s">
        <v>81</v>
      </c>
      <c r="B11" s="3" t="s">
        <v>82</v>
      </c>
      <c r="C11" s="3" t="s">
        <v>83</v>
      </c>
      <c r="D11" s="4">
        <v>0.0</v>
      </c>
      <c r="E11" s="3" t="s">
        <v>84</v>
      </c>
      <c r="F11" s="4">
        <v>2.0</v>
      </c>
      <c r="G11" s="3" t="s">
        <v>85</v>
      </c>
      <c r="H11" s="4">
        <v>0.0</v>
      </c>
      <c r="I11" s="3" t="s">
        <v>86</v>
      </c>
      <c r="J11" s="4">
        <v>0.0</v>
      </c>
      <c r="K11" s="3" t="s">
        <v>87</v>
      </c>
      <c r="L11" s="4">
        <v>0.0</v>
      </c>
      <c r="M11" s="3" t="s">
        <v>88</v>
      </c>
      <c r="N11" s="3" t="s">
        <v>4</v>
      </c>
    </row>
    <row r="12">
      <c r="A12" s="3" t="s">
        <v>89</v>
      </c>
      <c r="B12" s="5" t="s">
        <v>90</v>
      </c>
      <c r="C12" s="3" t="s">
        <v>91</v>
      </c>
      <c r="D12" s="6">
        <v>2.0</v>
      </c>
      <c r="E12" s="3" t="s">
        <v>92</v>
      </c>
      <c r="F12" s="6">
        <v>0.0</v>
      </c>
      <c r="G12" s="3" t="s">
        <v>93</v>
      </c>
      <c r="H12" s="6">
        <v>0.0</v>
      </c>
      <c r="I12" s="3" t="s">
        <v>94</v>
      </c>
      <c r="J12" s="6">
        <v>0.0</v>
      </c>
      <c r="K12" s="3" t="s">
        <v>95</v>
      </c>
      <c r="L12" s="4">
        <v>0.0</v>
      </c>
      <c r="M12" s="3" t="s">
        <v>96</v>
      </c>
      <c r="N12" s="3" t="s">
        <v>2</v>
      </c>
    </row>
    <row r="13">
      <c r="A13" s="3" t="s">
        <v>97</v>
      </c>
      <c r="B13" s="3" t="s">
        <v>98</v>
      </c>
      <c r="C13" s="3" t="s">
        <v>99</v>
      </c>
      <c r="D13" s="4">
        <v>0.0</v>
      </c>
      <c r="E13" s="3" t="s">
        <v>100</v>
      </c>
      <c r="F13" s="4">
        <v>2.0</v>
      </c>
      <c r="G13" s="3" t="s">
        <v>101</v>
      </c>
      <c r="H13" s="4">
        <v>0.0</v>
      </c>
      <c r="I13" s="3" t="s">
        <v>102</v>
      </c>
      <c r="J13" s="4">
        <v>0.0</v>
      </c>
      <c r="K13" s="3" t="s">
        <v>103</v>
      </c>
      <c r="L13" s="4">
        <v>0.0</v>
      </c>
      <c r="M13" s="3" t="s">
        <v>104</v>
      </c>
      <c r="N13" s="3" t="s">
        <v>4</v>
      </c>
    </row>
    <row r="14">
      <c r="A14" s="3" t="s">
        <v>105</v>
      </c>
      <c r="B14" s="3" t="s">
        <v>106</v>
      </c>
      <c r="C14" s="3" t="s">
        <v>107</v>
      </c>
      <c r="D14" s="4">
        <v>0.0</v>
      </c>
      <c r="E14" s="3" t="s">
        <v>108</v>
      </c>
      <c r="F14" s="4">
        <v>2.0</v>
      </c>
      <c r="G14" s="3" t="s">
        <v>109</v>
      </c>
      <c r="H14" s="4">
        <v>0.0</v>
      </c>
      <c r="I14" s="3" t="s">
        <v>110</v>
      </c>
      <c r="J14" s="4">
        <v>0.0</v>
      </c>
      <c r="K14" s="3" t="s">
        <v>111</v>
      </c>
      <c r="L14" s="4">
        <v>0.0</v>
      </c>
      <c r="M14" s="3" t="s">
        <v>112</v>
      </c>
      <c r="N14" s="3" t="s">
        <v>4</v>
      </c>
    </row>
    <row r="15">
      <c r="A15" s="3" t="s">
        <v>73</v>
      </c>
      <c r="B15" s="3" t="s">
        <v>113</v>
      </c>
      <c r="C15" s="3" t="s">
        <v>114</v>
      </c>
      <c r="D15" s="4">
        <v>0.0</v>
      </c>
      <c r="E15" s="3" t="s">
        <v>115</v>
      </c>
      <c r="F15" s="4">
        <v>0.0</v>
      </c>
      <c r="G15" s="3" t="s">
        <v>116</v>
      </c>
      <c r="H15" s="4">
        <v>2.0</v>
      </c>
      <c r="I15" s="3" t="s">
        <v>117</v>
      </c>
      <c r="J15" s="4">
        <v>0.0</v>
      </c>
      <c r="K15" s="3" t="s">
        <v>118</v>
      </c>
      <c r="L15" s="4">
        <v>0.0</v>
      </c>
      <c r="M15" s="3" t="s">
        <v>119</v>
      </c>
      <c r="N15" s="3" t="s">
        <v>6</v>
      </c>
    </row>
    <row r="16">
      <c r="A16" s="3" t="s">
        <v>81</v>
      </c>
      <c r="B16" s="3" t="s">
        <v>120</v>
      </c>
      <c r="C16" s="3" t="s">
        <v>121</v>
      </c>
      <c r="D16" s="4">
        <v>2.0</v>
      </c>
      <c r="E16" s="3" t="s">
        <v>122</v>
      </c>
      <c r="F16" s="4">
        <v>0.0</v>
      </c>
      <c r="G16" s="3" t="s">
        <v>123</v>
      </c>
      <c r="H16" s="4">
        <v>0.0</v>
      </c>
      <c r="I16" s="3" t="s">
        <v>124</v>
      </c>
      <c r="J16" s="4">
        <v>0.0</v>
      </c>
      <c r="K16" s="3" t="s">
        <v>125</v>
      </c>
      <c r="L16" s="4">
        <v>0.0</v>
      </c>
      <c r="M16" s="3" t="s">
        <v>126</v>
      </c>
      <c r="N16" s="3" t="s">
        <v>2</v>
      </c>
    </row>
    <row r="17">
      <c r="A17" s="3" t="s">
        <v>89</v>
      </c>
      <c r="B17" s="3" t="s">
        <v>127</v>
      </c>
      <c r="C17" s="3" t="s">
        <v>128</v>
      </c>
      <c r="D17" s="4">
        <v>0.0</v>
      </c>
      <c r="E17" s="3" t="s">
        <v>129</v>
      </c>
      <c r="F17" s="4">
        <v>0.0</v>
      </c>
      <c r="G17" s="3" t="s">
        <v>130</v>
      </c>
      <c r="H17" s="4">
        <v>2.0</v>
      </c>
      <c r="I17" s="3" t="s">
        <v>131</v>
      </c>
      <c r="J17" s="4">
        <v>0.0</v>
      </c>
      <c r="K17" s="3" t="s">
        <v>132</v>
      </c>
      <c r="L17" s="4">
        <v>0.0</v>
      </c>
      <c r="M17" s="3" t="s">
        <v>133</v>
      </c>
      <c r="N17" s="3" t="s">
        <v>6</v>
      </c>
    </row>
    <row r="18">
      <c r="A18" s="3" t="s">
        <v>14</v>
      </c>
      <c r="B18" s="3" t="s">
        <v>134</v>
      </c>
      <c r="C18" s="3" t="s">
        <v>135</v>
      </c>
      <c r="D18" s="4">
        <v>2.0</v>
      </c>
      <c r="E18" s="3" t="s">
        <v>136</v>
      </c>
      <c r="F18" s="4">
        <v>0.0</v>
      </c>
      <c r="G18" s="3" t="s">
        <v>137</v>
      </c>
      <c r="H18" s="4">
        <v>0.0</v>
      </c>
      <c r="I18" s="3" t="s">
        <v>138</v>
      </c>
      <c r="J18" s="4">
        <v>0.0</v>
      </c>
      <c r="K18" s="3" t="s">
        <v>139</v>
      </c>
      <c r="L18" s="4">
        <v>0.0</v>
      </c>
      <c r="M18" s="3" t="s">
        <v>140</v>
      </c>
      <c r="N18" s="3" t="s">
        <v>2</v>
      </c>
    </row>
    <row r="19">
      <c r="A19" s="3" t="s">
        <v>22</v>
      </c>
      <c r="B19" s="3" t="s">
        <v>141</v>
      </c>
      <c r="C19" s="3" t="s">
        <v>142</v>
      </c>
      <c r="D19" s="4">
        <v>0.0</v>
      </c>
      <c r="E19" s="3" t="s">
        <v>143</v>
      </c>
      <c r="F19" s="4">
        <v>0.0</v>
      </c>
      <c r="G19" s="3" t="s">
        <v>144</v>
      </c>
      <c r="H19" s="4">
        <v>2.0</v>
      </c>
      <c r="I19" s="3" t="s">
        <v>145</v>
      </c>
      <c r="J19" s="4">
        <v>0.0</v>
      </c>
      <c r="K19" s="3" t="s">
        <v>146</v>
      </c>
      <c r="L19" s="4">
        <v>0.0</v>
      </c>
      <c r="M19" s="3" t="s">
        <v>147</v>
      </c>
      <c r="N19" s="3" t="s">
        <v>6</v>
      </c>
    </row>
    <row r="20">
      <c r="A20" s="3" t="s">
        <v>30</v>
      </c>
      <c r="B20" s="3" t="s">
        <v>148</v>
      </c>
      <c r="C20" s="3" t="s">
        <v>149</v>
      </c>
      <c r="D20" s="4">
        <v>2.0</v>
      </c>
      <c r="E20" s="3" t="s">
        <v>150</v>
      </c>
      <c r="F20" s="4">
        <v>0.0</v>
      </c>
      <c r="G20" s="3" t="s">
        <v>151</v>
      </c>
      <c r="H20" s="4">
        <v>0.0</v>
      </c>
      <c r="I20" s="3" t="s">
        <v>152</v>
      </c>
      <c r="J20" s="4">
        <v>0.0</v>
      </c>
      <c r="K20" s="3" t="s">
        <v>153</v>
      </c>
      <c r="L20" s="4">
        <v>0.0</v>
      </c>
      <c r="M20" s="3" t="s">
        <v>154</v>
      </c>
      <c r="N20" s="3" t="s">
        <v>2</v>
      </c>
    </row>
    <row r="21">
      <c r="A21" s="3" t="s">
        <v>38</v>
      </c>
      <c r="B21" s="3" t="s">
        <v>155</v>
      </c>
      <c r="C21" s="3" t="s">
        <v>156</v>
      </c>
      <c r="D21" s="4">
        <v>0.0</v>
      </c>
      <c r="E21" s="3" t="s">
        <v>157</v>
      </c>
      <c r="F21" s="4">
        <v>2.0</v>
      </c>
      <c r="G21" s="3" t="s">
        <v>158</v>
      </c>
      <c r="H21" s="4">
        <v>0.0</v>
      </c>
      <c r="I21" s="3" t="s">
        <v>159</v>
      </c>
      <c r="J21" s="4">
        <v>0.0</v>
      </c>
      <c r="K21" s="3" t="s">
        <v>160</v>
      </c>
      <c r="L21" s="4">
        <v>0.0</v>
      </c>
      <c r="M21" s="3" t="s">
        <v>161</v>
      </c>
      <c r="N21" s="3" t="s">
        <v>4</v>
      </c>
    </row>
    <row r="22">
      <c r="A22" s="3" t="s">
        <v>46</v>
      </c>
      <c r="B22" s="3" t="s">
        <v>162</v>
      </c>
      <c r="C22" s="3" t="s">
        <v>163</v>
      </c>
      <c r="D22" s="4">
        <v>2.0</v>
      </c>
      <c r="E22" s="3" t="s">
        <v>164</v>
      </c>
      <c r="F22" s="4">
        <v>0.0</v>
      </c>
      <c r="G22" s="3" t="s">
        <v>165</v>
      </c>
      <c r="H22" s="4">
        <v>0.0</v>
      </c>
      <c r="I22" s="3" t="s">
        <v>166</v>
      </c>
      <c r="J22" s="4">
        <v>0.0</v>
      </c>
      <c r="K22" s="3" t="s">
        <v>167</v>
      </c>
      <c r="L22" s="4">
        <v>0.0</v>
      </c>
      <c r="M22" s="3" t="s">
        <v>168</v>
      </c>
      <c r="N22" s="3" t="s">
        <v>2</v>
      </c>
    </row>
    <row r="23">
      <c r="A23" s="3" t="s">
        <v>54</v>
      </c>
      <c r="B23" s="7" t="s">
        <v>169</v>
      </c>
      <c r="C23" s="3" t="s">
        <v>170</v>
      </c>
      <c r="D23" s="8">
        <v>0.0</v>
      </c>
      <c r="E23" s="3" t="s">
        <v>171</v>
      </c>
      <c r="F23" s="8">
        <v>2.0</v>
      </c>
      <c r="G23" s="3" t="s">
        <v>172</v>
      </c>
      <c r="H23" s="8">
        <v>0.0</v>
      </c>
      <c r="I23" s="3" t="s">
        <v>173</v>
      </c>
      <c r="J23" s="8">
        <v>0.0</v>
      </c>
      <c r="K23" s="3" t="s">
        <v>174</v>
      </c>
      <c r="L23" s="4">
        <v>0.0</v>
      </c>
      <c r="M23" s="3" t="s">
        <v>175</v>
      </c>
      <c r="N23" s="3" t="s">
        <v>4</v>
      </c>
    </row>
    <row r="24">
      <c r="A24" s="3" t="s">
        <v>62</v>
      </c>
      <c r="B24" s="3" t="s">
        <v>176</v>
      </c>
      <c r="C24" s="4">
        <v>0.44</v>
      </c>
      <c r="D24" s="4">
        <v>0.0</v>
      </c>
      <c r="E24" s="4">
        <v>0.67</v>
      </c>
      <c r="F24" s="4">
        <v>0.0</v>
      </c>
      <c r="G24" s="4">
        <v>1.0</v>
      </c>
      <c r="H24" s="4">
        <v>0.0</v>
      </c>
      <c r="I24" s="4">
        <v>0.25</v>
      </c>
      <c r="J24" s="4">
        <v>0.0</v>
      </c>
      <c r="K24" s="3" t="s">
        <v>177</v>
      </c>
      <c r="L24" s="4">
        <v>2.0</v>
      </c>
      <c r="M24" s="3" t="s">
        <v>178</v>
      </c>
      <c r="N24" s="3" t="s">
        <v>10</v>
      </c>
    </row>
    <row r="25">
      <c r="A25" s="3" t="s">
        <v>70</v>
      </c>
      <c r="B25" s="3" t="s">
        <v>179</v>
      </c>
      <c r="C25" s="3" t="s">
        <v>180</v>
      </c>
      <c r="D25" s="4">
        <v>2.0</v>
      </c>
      <c r="E25" s="3" t="s">
        <v>181</v>
      </c>
      <c r="F25" s="4">
        <v>0.0</v>
      </c>
      <c r="G25" s="3" t="s">
        <v>182</v>
      </c>
      <c r="H25" s="4">
        <v>0.0</v>
      </c>
      <c r="I25" s="3" t="s">
        <v>183</v>
      </c>
      <c r="J25" s="4">
        <v>0.0</v>
      </c>
      <c r="K25" s="3" t="s">
        <v>184</v>
      </c>
      <c r="L25" s="4">
        <v>0.0</v>
      </c>
      <c r="M25" s="3" t="s">
        <v>185</v>
      </c>
      <c r="N25" s="3" t="s">
        <v>2</v>
      </c>
    </row>
    <row r="26">
      <c r="A26" s="3" t="s">
        <v>186</v>
      </c>
      <c r="B26" s="3" t="s">
        <v>187</v>
      </c>
      <c r="C26" s="3" t="s">
        <v>188</v>
      </c>
      <c r="D26" s="4">
        <v>0.0</v>
      </c>
      <c r="E26" s="3" t="s">
        <v>189</v>
      </c>
      <c r="F26" s="4">
        <v>0.0</v>
      </c>
      <c r="G26" s="3" t="s">
        <v>190</v>
      </c>
      <c r="H26" s="4">
        <v>2.0</v>
      </c>
      <c r="I26" s="3" t="s">
        <v>191</v>
      </c>
      <c r="J26" s="4">
        <v>0.0</v>
      </c>
      <c r="K26" s="3" t="s">
        <v>192</v>
      </c>
      <c r="L26" s="4">
        <v>0.0</v>
      </c>
      <c r="M26" s="3" t="s">
        <v>193</v>
      </c>
      <c r="N26" s="3" t="s">
        <v>6</v>
      </c>
    </row>
    <row r="27">
      <c r="A27" s="3" t="s">
        <v>194</v>
      </c>
      <c r="B27" s="7" t="s">
        <v>195</v>
      </c>
      <c r="C27" s="3" t="s">
        <v>196</v>
      </c>
      <c r="D27" s="8">
        <v>0.0</v>
      </c>
      <c r="E27" s="3" t="s">
        <v>197</v>
      </c>
      <c r="F27" s="8">
        <v>2.0</v>
      </c>
      <c r="G27" s="9" t="str">
        <f>+1367 kJ</f>
        <v>#ERROR!</v>
      </c>
      <c r="H27" s="8">
        <v>0.0</v>
      </c>
      <c r="I27" s="9" t="str">
        <f>+683,5 kJ</f>
        <v>#ERROR!</v>
      </c>
      <c r="J27" s="8">
        <v>0.0</v>
      </c>
      <c r="K27" s="3" t="s">
        <v>198</v>
      </c>
      <c r="L27" s="4">
        <v>0.0</v>
      </c>
      <c r="M27" s="3" t="s">
        <v>199</v>
      </c>
      <c r="N27" s="3" t="s">
        <v>4</v>
      </c>
    </row>
    <row r="28">
      <c r="A28" s="3" t="s">
        <v>200</v>
      </c>
      <c r="B28" s="3" t="s">
        <v>201</v>
      </c>
      <c r="C28" s="3" t="s">
        <v>202</v>
      </c>
      <c r="D28" s="4">
        <v>2.0</v>
      </c>
      <c r="E28" s="3" t="s">
        <v>203</v>
      </c>
      <c r="F28" s="4">
        <v>0.0</v>
      </c>
      <c r="G28" s="3" t="s">
        <v>204</v>
      </c>
      <c r="H28" s="4">
        <v>0.0</v>
      </c>
      <c r="I28" s="3" t="s">
        <v>205</v>
      </c>
      <c r="J28" s="4">
        <v>0.0</v>
      </c>
      <c r="K28" s="3" t="s">
        <v>206</v>
      </c>
      <c r="L28" s="4">
        <v>0.0</v>
      </c>
      <c r="M28" s="3" t="s">
        <v>207</v>
      </c>
      <c r="N28" s="3" t="s">
        <v>2</v>
      </c>
    </row>
    <row r="29">
      <c r="A29" s="3" t="s">
        <v>30</v>
      </c>
      <c r="B29" s="3" t="s">
        <v>208</v>
      </c>
      <c r="C29" s="3" t="s">
        <v>209</v>
      </c>
      <c r="D29" s="4">
        <v>0.0</v>
      </c>
      <c r="E29" s="3" t="s">
        <v>210</v>
      </c>
      <c r="F29" s="4">
        <v>0.0</v>
      </c>
      <c r="G29" s="3" t="s">
        <v>211</v>
      </c>
      <c r="H29" s="4">
        <v>0.0</v>
      </c>
      <c r="I29" s="3" t="s">
        <v>212</v>
      </c>
      <c r="J29" s="4">
        <v>0.0</v>
      </c>
      <c r="K29" s="3" t="s">
        <v>213</v>
      </c>
      <c r="L29" s="4">
        <v>2.0</v>
      </c>
      <c r="M29" s="3" t="s">
        <v>214</v>
      </c>
      <c r="N29" s="3" t="s">
        <v>10</v>
      </c>
    </row>
    <row r="30">
      <c r="A30" s="3" t="s">
        <v>215</v>
      </c>
      <c r="B30" s="7" t="s">
        <v>216</v>
      </c>
      <c r="C30" s="3" t="s">
        <v>42</v>
      </c>
      <c r="D30" s="8">
        <v>0.0</v>
      </c>
      <c r="E30" s="3" t="s">
        <v>41</v>
      </c>
      <c r="F30" s="8">
        <v>2.0</v>
      </c>
      <c r="G30" s="3" t="s">
        <v>40</v>
      </c>
      <c r="H30" s="8">
        <v>0.0</v>
      </c>
      <c r="I30" s="3" t="s">
        <v>43</v>
      </c>
      <c r="J30" s="8">
        <v>0.0</v>
      </c>
      <c r="K30" s="3" t="s">
        <v>217</v>
      </c>
      <c r="L30" s="4">
        <v>0.0</v>
      </c>
      <c r="M30" s="3" t="s">
        <v>218</v>
      </c>
      <c r="N30" s="3" t="s">
        <v>4</v>
      </c>
    </row>
    <row r="31">
      <c r="A31" s="3" t="s">
        <v>62</v>
      </c>
      <c r="B31" s="3" t="s">
        <v>219</v>
      </c>
      <c r="C31" s="3" t="s">
        <v>220</v>
      </c>
      <c r="D31" s="4">
        <v>0.0</v>
      </c>
      <c r="E31" s="3" t="s">
        <v>221</v>
      </c>
      <c r="F31" s="4">
        <v>0.0</v>
      </c>
      <c r="G31" s="3" t="s">
        <v>222</v>
      </c>
      <c r="H31" s="4">
        <v>2.0</v>
      </c>
      <c r="I31" s="3" t="s">
        <v>223</v>
      </c>
      <c r="J31" s="4">
        <v>0.0</v>
      </c>
      <c r="K31" s="3" t="s">
        <v>224</v>
      </c>
      <c r="L31" s="4">
        <v>0.0</v>
      </c>
      <c r="M31" s="3" t="s">
        <v>225</v>
      </c>
      <c r="N31" s="3" t="s">
        <v>6</v>
      </c>
    </row>
    <row r="32">
      <c r="A32" s="3" t="s">
        <v>226</v>
      </c>
      <c r="B32" s="3" t="s">
        <v>227</v>
      </c>
      <c r="C32" s="4">
        <v>1.0</v>
      </c>
      <c r="D32" s="4">
        <v>0.0</v>
      </c>
      <c r="E32" s="4">
        <v>2.0</v>
      </c>
      <c r="F32" s="4">
        <v>2.0</v>
      </c>
      <c r="G32" s="4">
        <v>3.0</v>
      </c>
      <c r="H32" s="4">
        <v>0.0</v>
      </c>
      <c r="I32" s="4">
        <v>4.0</v>
      </c>
      <c r="J32" s="4">
        <v>0.0</v>
      </c>
      <c r="K32" s="4">
        <v>5.0</v>
      </c>
      <c r="L32" s="4">
        <v>0.0</v>
      </c>
      <c r="M32" s="3" t="s">
        <v>228</v>
      </c>
      <c r="N32" s="3" t="s">
        <v>4</v>
      </c>
    </row>
    <row r="33">
      <c r="A33" s="3" t="s">
        <v>229</v>
      </c>
      <c r="B33" s="3" t="s">
        <v>230</v>
      </c>
      <c r="C33" s="3" t="s">
        <v>79</v>
      </c>
      <c r="D33" s="4">
        <v>0.0</v>
      </c>
      <c r="E33" s="3" t="s">
        <v>75</v>
      </c>
      <c r="F33" s="4">
        <v>2.0</v>
      </c>
      <c r="G33" s="3" t="s">
        <v>231</v>
      </c>
      <c r="H33" s="4">
        <v>0.0</v>
      </c>
      <c r="I33" s="3" t="s">
        <v>232</v>
      </c>
      <c r="J33" s="4">
        <v>0.0</v>
      </c>
      <c r="K33" s="3" t="s">
        <v>233</v>
      </c>
      <c r="L33" s="4">
        <v>0.0</v>
      </c>
      <c r="M33" s="3" t="s">
        <v>234</v>
      </c>
      <c r="N33" s="3" t="s">
        <v>4</v>
      </c>
    </row>
    <row r="34">
      <c r="A34" s="3" t="s">
        <v>54</v>
      </c>
      <c r="B34" s="7" t="s">
        <v>235</v>
      </c>
      <c r="C34" s="3" t="s">
        <v>236</v>
      </c>
      <c r="D34" s="8">
        <v>0.0</v>
      </c>
      <c r="E34" s="3" t="s">
        <v>237</v>
      </c>
      <c r="F34" s="8">
        <v>0.0</v>
      </c>
      <c r="G34" s="3" t="s">
        <v>238</v>
      </c>
      <c r="H34" s="8">
        <v>2.0</v>
      </c>
      <c r="I34" s="3" t="s">
        <v>239</v>
      </c>
      <c r="J34" s="8">
        <v>0.0</v>
      </c>
      <c r="K34" s="3" t="s">
        <v>240</v>
      </c>
      <c r="L34" s="4">
        <v>0.0</v>
      </c>
      <c r="M34" s="3" t="s">
        <v>241</v>
      </c>
      <c r="N34" s="3" t="s">
        <v>6</v>
      </c>
    </row>
    <row r="35">
      <c r="A35" s="3" t="s">
        <v>242</v>
      </c>
      <c r="B35" s="3" t="s">
        <v>243</v>
      </c>
      <c r="C35" s="3" t="s">
        <v>244</v>
      </c>
      <c r="D35" s="4">
        <v>2.0</v>
      </c>
      <c r="E35" s="3" t="s">
        <v>245</v>
      </c>
      <c r="F35" s="4">
        <v>0.0</v>
      </c>
      <c r="G35" s="3" t="s">
        <v>246</v>
      </c>
      <c r="H35" s="4">
        <v>0.0</v>
      </c>
      <c r="I35" s="3" t="s">
        <v>247</v>
      </c>
      <c r="J35" s="4">
        <v>0.0</v>
      </c>
      <c r="K35" s="3" t="s">
        <v>248</v>
      </c>
      <c r="L35" s="4">
        <v>0.0</v>
      </c>
      <c r="M35" s="3" t="s">
        <v>249</v>
      </c>
      <c r="N35" s="3" t="s">
        <v>2</v>
      </c>
    </row>
    <row r="36">
      <c r="A36" s="3" t="s">
        <v>200</v>
      </c>
      <c r="B36" s="3" t="s">
        <v>250</v>
      </c>
      <c r="C36" s="3" t="s">
        <v>251</v>
      </c>
      <c r="D36" s="4">
        <v>0.0</v>
      </c>
      <c r="E36" s="3" t="s">
        <v>252</v>
      </c>
      <c r="F36" s="4">
        <v>2.0</v>
      </c>
      <c r="G36" s="3" t="s">
        <v>253</v>
      </c>
      <c r="H36" s="4">
        <v>0.0</v>
      </c>
      <c r="I36" s="3" t="s">
        <v>254</v>
      </c>
      <c r="J36" s="4">
        <v>0.0</v>
      </c>
      <c r="K36" s="3" t="s">
        <v>255</v>
      </c>
      <c r="L36" s="4">
        <v>0.0</v>
      </c>
      <c r="M36" s="3" t="s">
        <v>256</v>
      </c>
      <c r="N36" s="3" t="s">
        <v>4</v>
      </c>
    </row>
    <row r="37">
      <c r="A37" s="3" t="s">
        <v>215</v>
      </c>
      <c r="B37" s="3" t="s">
        <v>257</v>
      </c>
      <c r="C37" s="3" t="s">
        <v>258</v>
      </c>
      <c r="D37" s="4">
        <v>0.0</v>
      </c>
      <c r="E37" s="3" t="s">
        <v>259</v>
      </c>
      <c r="F37" s="4">
        <v>0.0</v>
      </c>
      <c r="G37" s="3" t="s">
        <v>260</v>
      </c>
      <c r="H37" s="4">
        <v>0.0</v>
      </c>
      <c r="I37" s="3" t="s">
        <v>261</v>
      </c>
      <c r="J37" s="4">
        <v>0.0</v>
      </c>
      <c r="K37" s="3" t="s">
        <v>262</v>
      </c>
      <c r="L37" s="4">
        <v>2.0</v>
      </c>
      <c r="M37" s="3" t="s">
        <v>263</v>
      </c>
      <c r="N37" s="3" t="s">
        <v>10</v>
      </c>
    </row>
    <row r="38">
      <c r="A38" s="3" t="s">
        <v>229</v>
      </c>
      <c r="B38" s="3" t="s">
        <v>264</v>
      </c>
      <c r="C38" s="3" t="s">
        <v>265</v>
      </c>
      <c r="D38" s="4">
        <v>0.0</v>
      </c>
      <c r="E38" s="3" t="s">
        <v>266</v>
      </c>
      <c r="F38" s="4">
        <v>0.0</v>
      </c>
      <c r="G38" s="3" t="s">
        <v>267</v>
      </c>
      <c r="H38" s="4">
        <v>2.0</v>
      </c>
      <c r="I38" s="3" t="s">
        <v>268</v>
      </c>
      <c r="J38" s="4">
        <v>0.0</v>
      </c>
      <c r="K38" s="3" t="s">
        <v>269</v>
      </c>
      <c r="L38" s="4">
        <v>0.0</v>
      </c>
      <c r="M38" s="3" t="s">
        <v>270</v>
      </c>
      <c r="N38" s="3" t="s">
        <v>6</v>
      </c>
    </row>
    <row r="39">
      <c r="A39" s="3" t="s">
        <v>81</v>
      </c>
      <c r="B39" s="7" t="s">
        <v>271</v>
      </c>
      <c r="C39" s="3" t="s">
        <v>272</v>
      </c>
      <c r="D39" s="8">
        <v>2.0</v>
      </c>
      <c r="E39" s="3" t="s">
        <v>273</v>
      </c>
      <c r="F39" s="8">
        <v>0.0</v>
      </c>
      <c r="G39" s="3" t="s">
        <v>274</v>
      </c>
      <c r="H39" s="8">
        <v>0.0</v>
      </c>
      <c r="I39" s="3" t="s">
        <v>275</v>
      </c>
      <c r="J39" s="8">
        <v>0.0</v>
      </c>
      <c r="K39" s="3" t="s">
        <v>276</v>
      </c>
      <c r="L39" s="4">
        <v>0.0</v>
      </c>
      <c r="M39" s="3" t="s">
        <v>277</v>
      </c>
      <c r="N39" s="3" t="s">
        <v>2</v>
      </c>
    </row>
    <row r="40">
      <c r="A40" s="3" t="s">
        <v>226</v>
      </c>
      <c r="B40" s="3" t="s">
        <v>278</v>
      </c>
      <c r="C40" s="4">
        <v>1.0</v>
      </c>
      <c r="D40" s="4">
        <v>0.0</v>
      </c>
      <c r="E40" s="4">
        <v>2.0</v>
      </c>
      <c r="F40" s="4">
        <v>0.0</v>
      </c>
      <c r="G40" s="4">
        <v>3.0</v>
      </c>
      <c r="H40" s="4">
        <v>2.0</v>
      </c>
      <c r="I40" s="4">
        <v>11.0</v>
      </c>
      <c r="J40" s="4">
        <v>0.0</v>
      </c>
      <c r="K40" s="4">
        <v>12.0</v>
      </c>
      <c r="L40" s="4">
        <v>0.0</v>
      </c>
      <c r="M40" s="3" t="s">
        <v>279</v>
      </c>
      <c r="N40" s="3" t="s">
        <v>4</v>
      </c>
    </row>
    <row r="41">
      <c r="A41" s="3" t="s">
        <v>62</v>
      </c>
      <c r="B41" s="3" t="s">
        <v>280</v>
      </c>
      <c r="C41" s="3" t="s">
        <v>281</v>
      </c>
      <c r="D41" s="4">
        <v>0.0</v>
      </c>
      <c r="E41" s="3" t="s">
        <v>282</v>
      </c>
      <c r="F41" s="4">
        <v>2.0</v>
      </c>
      <c r="G41" s="3" t="s">
        <v>220</v>
      </c>
      <c r="H41" s="4">
        <v>0.0</v>
      </c>
      <c r="I41" s="3" t="s">
        <v>224</v>
      </c>
      <c r="J41" s="4">
        <v>0.0</v>
      </c>
      <c r="K41" s="3" t="s">
        <v>283</v>
      </c>
      <c r="L41" s="4">
        <v>0.0</v>
      </c>
      <c r="M41" s="3" t="s">
        <v>284</v>
      </c>
      <c r="N41" s="3" t="s">
        <v>4</v>
      </c>
    </row>
    <row r="42">
      <c r="A42" s="3" t="s">
        <v>14</v>
      </c>
      <c r="B42" s="3" t="s">
        <v>285</v>
      </c>
      <c r="C42" s="4">
        <v>0.0</v>
      </c>
      <c r="D42" s="4">
        <v>0.0</v>
      </c>
      <c r="E42" s="4">
        <v>1.0</v>
      </c>
      <c r="F42" s="4">
        <v>2.0</v>
      </c>
      <c r="G42" s="4">
        <v>2.0</v>
      </c>
      <c r="H42" s="4">
        <v>0.0</v>
      </c>
      <c r="I42" s="4">
        <v>3.0</v>
      </c>
      <c r="J42" s="4">
        <v>0.0</v>
      </c>
      <c r="K42" s="4">
        <v>4.0</v>
      </c>
      <c r="L42" s="4">
        <v>0.0</v>
      </c>
      <c r="M42" s="3" t="s">
        <v>286</v>
      </c>
      <c r="N42" s="3" t="s">
        <v>4</v>
      </c>
    </row>
    <row r="43">
      <c r="A43" s="3" t="s">
        <v>200</v>
      </c>
      <c r="B43" s="3" t="s">
        <v>287</v>
      </c>
      <c r="C43" s="3" t="s">
        <v>288</v>
      </c>
      <c r="D43" s="4">
        <v>0.0</v>
      </c>
      <c r="E43" s="3" t="s">
        <v>289</v>
      </c>
      <c r="F43" s="4">
        <v>0.0</v>
      </c>
      <c r="G43" s="3" t="s">
        <v>290</v>
      </c>
      <c r="H43" s="4">
        <v>2.0</v>
      </c>
      <c r="I43" s="3" t="s">
        <v>146</v>
      </c>
      <c r="J43" s="4">
        <v>0.0</v>
      </c>
      <c r="K43" s="3" t="s">
        <v>291</v>
      </c>
      <c r="L43" s="4">
        <v>0.0</v>
      </c>
      <c r="M43" s="3" t="s">
        <v>292</v>
      </c>
      <c r="N43" s="3" t="s">
        <v>6</v>
      </c>
    </row>
    <row r="44">
      <c r="A44" s="3" t="s">
        <v>30</v>
      </c>
      <c r="B44" s="3" t="s">
        <v>293</v>
      </c>
      <c r="C44" s="3" t="s">
        <v>209</v>
      </c>
      <c r="D44" s="4">
        <v>0.0</v>
      </c>
      <c r="E44" s="3" t="s">
        <v>210</v>
      </c>
      <c r="F44" s="4">
        <v>0.0</v>
      </c>
      <c r="G44" s="3" t="s">
        <v>211</v>
      </c>
      <c r="H44" s="4">
        <v>0.0</v>
      </c>
      <c r="I44" s="3" t="s">
        <v>294</v>
      </c>
      <c r="J44" s="4">
        <v>0.0</v>
      </c>
      <c r="K44" s="3" t="s">
        <v>209</v>
      </c>
      <c r="L44" s="4">
        <v>2.0</v>
      </c>
      <c r="M44" s="3" t="s">
        <v>295</v>
      </c>
      <c r="N44" s="3" t="s">
        <v>10</v>
      </c>
    </row>
    <row r="45">
      <c r="A45" s="3" t="s">
        <v>46</v>
      </c>
      <c r="B45" s="3" t="s">
        <v>296</v>
      </c>
      <c r="C45" s="3" t="s">
        <v>297</v>
      </c>
      <c r="D45" s="4">
        <v>0.0</v>
      </c>
      <c r="E45" s="3" t="s">
        <v>298</v>
      </c>
      <c r="F45" s="4">
        <v>2.0</v>
      </c>
      <c r="G45" s="3" t="s">
        <v>299</v>
      </c>
      <c r="H45" s="4">
        <v>0.0</v>
      </c>
      <c r="I45" s="3" t="s">
        <v>300</v>
      </c>
      <c r="J45" s="4">
        <v>0.0</v>
      </c>
      <c r="K45" s="9" t="str">
        <f>+400 kJ</f>
        <v>#ERROR!</v>
      </c>
      <c r="L45" s="4">
        <v>0.0</v>
      </c>
      <c r="M45" s="3" t="s">
        <v>301</v>
      </c>
      <c r="N45" s="3" t="s">
        <v>4</v>
      </c>
    </row>
    <row r="46">
      <c r="A46" s="3" t="s">
        <v>54</v>
      </c>
      <c r="B46" s="3" t="s">
        <v>302</v>
      </c>
      <c r="C46" s="3" t="s">
        <v>303</v>
      </c>
      <c r="D46" s="4">
        <v>0.0</v>
      </c>
      <c r="E46" s="3" t="s">
        <v>304</v>
      </c>
      <c r="F46" s="4">
        <v>0.0</v>
      </c>
      <c r="G46" s="3" t="s">
        <v>305</v>
      </c>
      <c r="H46" s="4">
        <v>2.0</v>
      </c>
      <c r="I46" s="3" t="s">
        <v>306</v>
      </c>
      <c r="J46" s="4">
        <v>0.0</v>
      </c>
      <c r="K46" s="3" t="s">
        <v>307</v>
      </c>
      <c r="L46" s="4">
        <v>0.0</v>
      </c>
      <c r="M46" s="3" t="s">
        <v>308</v>
      </c>
      <c r="N46" s="3" t="s">
        <v>6</v>
      </c>
    </row>
    <row r="47">
      <c r="A47" s="3" t="s">
        <v>62</v>
      </c>
      <c r="B47" s="7" t="s">
        <v>309</v>
      </c>
      <c r="C47" s="3" t="s">
        <v>310</v>
      </c>
      <c r="D47" s="8">
        <v>0.0</v>
      </c>
      <c r="E47" s="3" t="s">
        <v>220</v>
      </c>
      <c r="F47" s="8">
        <v>0.0</v>
      </c>
      <c r="G47" s="3" t="s">
        <v>224</v>
      </c>
      <c r="H47" s="8">
        <v>0.0</v>
      </c>
      <c r="I47" s="3" t="s">
        <v>311</v>
      </c>
      <c r="J47" s="8">
        <v>2.0</v>
      </c>
      <c r="K47" s="3" t="s">
        <v>312</v>
      </c>
      <c r="L47" s="4">
        <v>0.0</v>
      </c>
      <c r="M47" s="3" t="s">
        <v>313</v>
      </c>
      <c r="N47" s="3" t="s">
        <v>8</v>
      </c>
    </row>
    <row r="48">
      <c r="A48" s="3" t="s">
        <v>70</v>
      </c>
      <c r="B48" s="3" t="s">
        <v>314</v>
      </c>
      <c r="C48" s="4">
        <v>4.74</v>
      </c>
      <c r="D48" s="4">
        <v>2.0</v>
      </c>
      <c r="E48" s="4">
        <v>3.0</v>
      </c>
      <c r="F48" s="4">
        <v>0.0</v>
      </c>
      <c r="G48" s="4">
        <v>7.0</v>
      </c>
      <c r="H48" s="4">
        <v>0.0</v>
      </c>
      <c r="I48" s="4">
        <v>5.5</v>
      </c>
      <c r="J48" s="4">
        <v>0.0</v>
      </c>
      <c r="K48" s="4">
        <v>6.0</v>
      </c>
      <c r="L48" s="4">
        <v>0.0</v>
      </c>
      <c r="M48" s="3" t="s">
        <v>315</v>
      </c>
      <c r="N48" s="3" t="s">
        <v>2</v>
      </c>
    </row>
    <row r="49">
      <c r="A49" s="3" t="s">
        <v>81</v>
      </c>
      <c r="B49" s="3" t="s">
        <v>316</v>
      </c>
      <c r="C49" s="3" t="s">
        <v>317</v>
      </c>
      <c r="D49" s="4">
        <v>2.0</v>
      </c>
      <c r="E49" s="3" t="s">
        <v>318</v>
      </c>
      <c r="F49" s="4">
        <v>0.0</v>
      </c>
      <c r="G49" s="3" t="s">
        <v>319</v>
      </c>
      <c r="H49" s="4">
        <v>0.0</v>
      </c>
      <c r="I49" s="3" t="s">
        <v>320</v>
      </c>
      <c r="J49" s="4">
        <v>0.0</v>
      </c>
      <c r="K49" s="3" t="s">
        <v>321</v>
      </c>
      <c r="L49" s="4">
        <v>0.0</v>
      </c>
      <c r="M49" s="3" t="s">
        <v>322</v>
      </c>
      <c r="N49" s="3" t="s">
        <v>2</v>
      </c>
    </row>
    <row r="50">
      <c r="A50" s="3" t="s">
        <v>14</v>
      </c>
      <c r="B50" s="3" t="s">
        <v>323</v>
      </c>
      <c r="C50" s="3" t="s">
        <v>324</v>
      </c>
      <c r="D50" s="4">
        <v>0.0</v>
      </c>
      <c r="E50" s="3" t="s">
        <v>325</v>
      </c>
      <c r="F50" s="4">
        <v>0.0</v>
      </c>
      <c r="G50" s="3" t="s">
        <v>326</v>
      </c>
      <c r="H50" s="4">
        <v>2.0</v>
      </c>
      <c r="I50" s="3" t="s">
        <v>327</v>
      </c>
      <c r="J50" s="4">
        <v>0.0</v>
      </c>
      <c r="K50" s="3" t="s">
        <v>328</v>
      </c>
      <c r="L50" s="4">
        <v>0.0</v>
      </c>
      <c r="M50" s="3" t="s">
        <v>329</v>
      </c>
      <c r="N50" s="3" t="s">
        <v>6</v>
      </c>
    </row>
    <row r="51">
      <c r="A51" s="3" t="s">
        <v>22</v>
      </c>
      <c r="B51" s="3" t="s">
        <v>330</v>
      </c>
      <c r="C51" s="3" t="s">
        <v>331</v>
      </c>
      <c r="D51" s="4">
        <v>0.0</v>
      </c>
      <c r="E51" s="3" t="s">
        <v>332</v>
      </c>
      <c r="F51" s="4">
        <v>0.0</v>
      </c>
      <c r="G51" s="3" t="s">
        <v>333</v>
      </c>
      <c r="H51" s="4">
        <v>2.0</v>
      </c>
      <c r="I51" s="3" t="s">
        <v>334</v>
      </c>
      <c r="J51" s="4">
        <v>0.0</v>
      </c>
      <c r="K51" s="3" t="s">
        <v>335</v>
      </c>
      <c r="L51" s="4">
        <v>0.0</v>
      </c>
      <c r="M51" s="3" t="s">
        <v>336</v>
      </c>
      <c r="N51" s="3" t="s">
        <v>6</v>
      </c>
    </row>
  </sheetData>
  <drawing r:id="rId1"/>
</worksheet>
</file>